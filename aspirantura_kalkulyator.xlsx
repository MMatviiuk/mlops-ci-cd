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Бали кандидатів" sheetId="1" state="visible" r:id="rId1"/>
    <sheet name="Розрахунок по ЗВО" sheetId="2" state="visible" r:id="rId2"/>
    <sheet name="Держзамовлення 2026" sheetId="3" state="visible" r:id="rId3"/>
    <sheet name="Джерела" sheetId="4" state="visible" r:id="rId4"/>
    <sheet name="Держзамовлення 2024 (факт)" sheetId="5" state="visible" r:id="rId5"/>
  </sheets>
  <definedNames>
    <definedName name="_xlnm._FilterDatabase" localSheetId="1" hidden="1">'Розрахунок по ЗВО'!$A$1:$AI$106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00800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color rgb="FFC00000"/>
      <sz val="11"/>
    </font>
    <font>
      <name val="Cambria"/>
      <charset val="1"/>
      <family val="0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1F4E79"/>
      <sz val="11"/>
    </font>
    <font>
      <name val="Arial"/>
      <charset val="1"/>
      <family val="0"/>
      <color rgb="FF0563C1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2" fontId="0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8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2" fontId="0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8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bottom"/>
    </xf>
    <xf numFmtId="0" fontId="20" fillId="6" borderId="0" pivotButton="0" quotePrefix="0" xfId="0"/>
    <xf numFmtId="0" fontId="20" fillId="0" borderId="0" pivotButton="0" quotePrefix="0" xfId="0"/>
    <xf numFmtId="0" fontId="20" fillId="0" borderId="0" pivotButton="0" quotePrefix="0" xfId="0"/>
    <xf numFmtId="0" fontId="2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admission.lnu.edu.ua/wp-content/uploads/2026/07/PP_2026_n.pdf" TargetMode="External" Id="rId1" /><Relationship Type="http://schemas.openxmlformats.org/officeDocument/2006/relationships/hyperlink" Target="https://admission.lnu.edu.ua/guidelines-for-admission/" TargetMode="External" Id="rId2" /><Relationship Type="http://schemas.openxmlformats.org/officeDocument/2006/relationships/hyperlink" Target="https://lpnu.ua/sites/default/files/2020/pages/1867/aspiranturagrafik-provedennya-vstupnikh-ispitiv06082026.pdf" TargetMode="External" Id="rId3" /><Relationship Type="http://schemas.openxmlformats.org/officeDocument/2006/relationships/hyperlink" Target="https://lpnu.ua/aspirantam/vstup/obsiagy-derzhavnogo-zamovlennia" TargetMode="External" Id="rId4" /><Relationship Type="http://schemas.openxmlformats.org/officeDocument/2006/relationships/hyperlink" Target="https://lpnu.ua/aspirantam/vstup/prohramy-vstupnykh-ispytiv-zi-spetsialnosti" TargetMode="External" Id="rId5" /><Relationship Type="http://schemas.openxmlformats.org/officeDocument/2006/relationships/hyperlink" Target="https://admission.lnu.edu.ua/wp-content/uploads/2026/08/Rozklad-PhD.pdf" TargetMode="External" Id="rId6" /><Relationship Type="http://schemas.openxmlformats.org/officeDocument/2006/relationships/hyperlink" Target="https://admission.lnu.edu.ua/vstupnyku-do-aspirantury/etapy-vstupnoi-kampanii-aspirantura/" TargetMode="External" Id="rId7" /><Relationship Type="http://schemas.openxmlformats.org/officeDocument/2006/relationships/hyperlink" Target="https://aspirantura.lnu.edu.ua/wp-content/uploads/2024/08/122_Programa_vstupnogo_ispytu_2024.pdf" TargetMode="External" Id="rId8" /><Relationship Type="http://schemas.openxmlformats.org/officeDocument/2006/relationships/hyperlink" Target="https://aspirantura.lnu.edu.ua/informatsiia-dlia-vstupnykiv/programs/" TargetMode="External" Id="rId9" /><Relationship Type="http://schemas.openxmlformats.org/officeDocument/2006/relationships/hyperlink" Target="https://osvita.ua/vnz/vstup-do-aspirantury/96812/" TargetMode="External" Id="rId10" /><Relationship Type="http://schemas.openxmlformats.org/officeDocument/2006/relationships/hyperlink" Target="https://testportal.gov.ua/dodatkova-sesiya-yevi-yevv-2026/" TargetMode="External" Id="rId11" /><Relationship Type="http://schemas.openxmlformats.org/officeDocument/2006/relationships/hyperlink" Target="https://testportal.gov.ua/yevi-2026-spetsialno-organizovani-sesiyi/" TargetMode="External" Id="rId12" /><Relationship Type="http://schemas.openxmlformats.org/officeDocument/2006/relationships/hyperlink" Target="https://www.education.ua/news/2026/02/18/konkursnyi-bal-pry-vstupi-do-aspirantury-u-2026-rotsi/" TargetMode="External" Id="rId13" /><Relationship Type="http://schemas.openxmlformats.org/officeDocument/2006/relationships/hyperlink" Target="https://www.education.ua/vstup/phd-admission/" TargetMode="External" Id="rId14" /><Relationship Type="http://schemas.openxmlformats.org/officeDocument/2006/relationships/hyperlink" Target="https://www.rbc.ua/rus/news/k-i-skilki-zayav-podavati-abiturientam-shchob-1784048166.html" TargetMode="External" Id="rId15" /><Relationship Type="http://schemas.openxmlformats.org/officeDocument/2006/relationships/hyperlink" Target="https://osvita.ua/master/master-zno/rozrahunok-bala/74870/" TargetMode="External" Id="rId16" /><Relationship Type="http://schemas.openxmlformats.org/officeDocument/2006/relationships/hyperlink" Target="https://osvita.ua/master/master-zno/rozrahunok-bala/74839/" TargetMode="External" Id="rId17" /><Relationship Type="http://schemas.openxmlformats.org/officeDocument/2006/relationships/hyperlink" Target="https://www.education.ua/news/2026/07/15/skilky-biudzhetnykh-mists-dlia-vstupnykiv-do-aspirantury-2026/" TargetMode="External" Id="rId18" /><Relationship Type="http://schemas.openxmlformats.org/officeDocument/2006/relationships/hyperlink" Target="https://fakty.com.ua/ua/ukraine/20260702-kilkist-byudzhetnyh-mists-na-aspiranturu-shho-vidomo-pro-derzhzamovlennya-u-2026-rotsi/" TargetMode="External" Id="rId19" /><Relationship Type="http://schemas.openxmlformats.org/officeDocument/2006/relationships/hyperlink" Target="https://mon.gov.ua/news/mon-vpershe-zaprovadzheno-formulnyi-rozpodil-mists-v-aspiranturu" TargetMode="External" Id="rId20" /><Relationship Type="http://schemas.openxmlformats.org/officeDocument/2006/relationships/hyperlink" Target="https://vstup.osvita.ua/spec/7-640-1/0-0-2548-0-0-0/" TargetMode="External" Id="rId21" /><Relationship Type="http://schemas.openxmlformats.org/officeDocument/2006/relationships/hyperlink" Target="https://vstup.osvita.ua/spec/7-640-1/0-0-2548-0-0-50/" TargetMode="External" Id="rId22" /><Relationship Type="http://schemas.openxmlformats.org/officeDocument/2006/relationships/hyperlink" Target="https://vstup.osvita.ua/y2025/r19/168/1476693/" TargetMode="External" Id="rId23" /><Relationship Type="http://schemas.openxmlformats.org/officeDocument/2006/relationships/hyperlink" Target="https://tsn.ua/exclusive/vidstrochka-vid-mobilizatsiyi-dlia-studentiv-u-2026-rotsi-khto-maye-pravo-iak-oformyty-ta-koly-yiyi-mozut-skasuvaty-3151295.html" TargetMode="External" Id="rId24" /><Relationship Type="http://schemas.openxmlformats.org/officeDocument/2006/relationships/hyperlink" Target="https://tehnofan.com.ua/2026/08/18/vidstrochka-dlya-studentiv-ta-aspirantiv-z-1-veresnya-diyatymut&#697;-novi-pravyla/" TargetMode="External" Id="rId25" /><Relationship Type="http://schemas.openxmlformats.org/officeDocument/2006/relationships/hyperlink" Target="https://karazin.ua/universitet/structure/strukturni-pidrozdily/viddil-aspirantury-ta-doktorantury/" TargetMode="External" Id="rId2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7" min="1" max="1"/>
    <col width="16" customWidth="1" style="37" min="2" max="3"/>
    <col width="66" customWidth="1" style="37" min="4" max="4"/>
  </cols>
  <sheetData>
    <row r="1" ht="16.15" customHeight="1" s="38">
      <c r="A1" s="39" t="inlineStr">
        <is>
          <t>КАЛЬКУЛЯТОР КОНКУРСНОГО БАЛА — аспірантура F3 «Комп'ютерні науки», 2026</t>
        </is>
      </c>
    </row>
    <row r="3" ht="15" customHeight="1" s="38">
      <c r="A3" s="40" t="inlineStr">
        <is>
          <t>ЖОВТІ клітинки заповнюєте ви. Два стовпці — два кандидати; таблиця рахує обидва одночасно.</t>
        </is>
      </c>
    </row>
    <row r="5" ht="15" customHeight="1" s="38">
      <c r="A5" s="41" t="inlineStr">
        <is>
          <t>ПОКАЗНИК</t>
        </is>
      </c>
      <c r="B5" s="41" t="inlineStr">
        <is>
          <t>КАНДИДАТ 1</t>
        </is>
      </c>
      <c r="C5" s="41" t="inlineStr">
        <is>
          <t>КАНДИДАТ 2</t>
        </is>
      </c>
      <c r="D5" s="41" t="inlineStr">
        <is>
          <t>Пояснення</t>
        </is>
      </c>
    </row>
    <row r="6" ht="22.35" customHeight="1" s="38">
      <c r="A6" s="42" t="inlineStr">
        <is>
          <t>ЄВІ — тест з іноземної мови (П1)</t>
        </is>
      </c>
      <c r="B6" s="43" t="n">
        <v>174</v>
      </c>
      <c r="C6" s="43" t="n">
        <v>167</v>
      </c>
      <c r="D6" s="44" t="inlineStr">
        <is>
          <t>Кандидат 2: фактичний результат ЄВІ-іноземна 167.</t>
        </is>
      </c>
    </row>
    <row r="7" ht="15" customHeight="1" s="38">
      <c r="A7" s="42" t="inlineStr">
        <is>
          <t>ЄВВ — методологія наукових досліджень (П2)</t>
        </is>
      </c>
      <c r="B7" s="43" t="n">
        <v>158.5</v>
      </c>
      <c r="C7" s="43" t="n">
        <v>142</v>
      </c>
      <c r="D7" s="44" t="inlineStr">
        <is>
          <t>Кандидат 2: фактичний результат 142. УВАГА: нижче 150 — не проходить туди, де ЗВО підняв мін. бал за ЄВВ до 150 (напр. Інститут проблем моделювання в енергетиці НАНУ).</t>
        </is>
      </c>
    </row>
    <row r="8" ht="15" customHeight="1" s="38">
      <c r="A8" s="42" t="inlineStr">
        <is>
          <t>ТЗНК (для допуску, вага 0)</t>
        </is>
      </c>
      <c r="B8" s="43" t="n">
        <v>182</v>
      </c>
      <c r="C8" s="43" t="n">
        <v>175</v>
      </c>
      <c r="D8" s="44" t="inlineStr">
        <is>
          <t>Кандидат 2: фактичний результат 175. У формулу КБ не входить, лише допуск.</t>
        </is>
      </c>
    </row>
    <row r="9" ht="15" customHeight="1" s="38">
      <c r="A9" s="42" t="inlineStr">
        <is>
          <t>Очікуваний бал за іспит зі спеціальності</t>
        </is>
      </c>
      <c r="B9" s="43" t="n">
        <v>160</v>
      </c>
      <c r="C9" s="43" t="n">
        <v>160</v>
      </c>
      <c r="D9" s="44" t="inlineStr">
        <is>
          <t>ОЦІНКА, а не факт. Змініть — і вся таблиця перерахується.</t>
        </is>
      </c>
    </row>
    <row r="10" ht="15" customHeight="1" s="38">
      <c r="A10" s="42" t="inlineStr">
        <is>
          <t>Очікуваний бал за дослідницьку пропозицію</t>
        </is>
      </c>
      <c r="B10" s="43" t="n">
        <v>180</v>
      </c>
      <c r="C10" s="43" t="n">
        <v>150</v>
      </c>
      <c r="D10" s="44" t="inlineStr">
        <is>
          <t>Там, де вона оцінюється.</t>
        </is>
      </c>
    </row>
    <row r="11" ht="15" customHeight="1" s="38">
      <c r="A11" s="42" t="inlineStr">
        <is>
          <t>Очікуваний бал за додатковий іспит (філософія тощо)</t>
        </is>
      </c>
      <c r="B11" s="43" t="n">
        <v>150</v>
      </c>
      <c r="C11" s="43" t="n">
        <v>150</v>
      </c>
      <c r="D11" s="44" t="inlineStr">
        <is>
          <t>Стосується лише ЖДУ ім. Франка та Одеської юракадемії.</t>
        </is>
      </c>
    </row>
    <row r="13" ht="15" customHeight="1" s="38">
      <c r="A13" s="45" t="inlineStr">
        <is>
          <t>ПЕРЕВІРКА ДОПУСКУ (ТЗНК + іноземна &gt;= 300)</t>
        </is>
      </c>
    </row>
    <row r="14" ht="15" customHeight="1" s="38">
      <c r="A14" s="37" t="inlineStr">
        <is>
          <t>Сума</t>
        </is>
      </c>
      <c r="B14" s="46">
        <f>B8+B6</f>
        <v/>
      </c>
      <c r="C14" s="46">
        <f>C8+C6</f>
        <v/>
      </c>
      <c r="D14" s="42">
        <f>IF(AND(B14&gt;=300,C14&gt;=300),"обидва допущені",IF(B14&gt;=300,"К2 НЕ допущений",IF(C14&gt;=300,"К1 НЕ допущений","обидва НЕ допущені")))</f>
        <v/>
      </c>
    </row>
    <row r="16" ht="15" customHeight="1" s="38">
      <c r="A16" s="45" t="inlineStr">
        <is>
          <t>ФОРМУЛА (Порядок прийому 2026, вступ до аспірантури)</t>
        </is>
      </c>
    </row>
    <row r="17" ht="15" customHeight="1" s="38">
      <c r="A17" s="47" t="inlineStr">
        <is>
          <t>КБ = 0,2 × іноземна ЄВІ + 0,2 × ЄВВ + 0,6 × фахові випробування (іспит + пропозиція + дод. іспит)</t>
        </is>
      </c>
    </row>
    <row r="18" ht="15" customHeight="1" s="38">
      <c r="A18" s="47" t="inlineStr">
        <is>
          <t>ТЗНК має вагу 0 і в конкурсний бал не входить — лише допуск.</t>
        </is>
      </c>
    </row>
    <row r="20" ht="15" customHeight="1" s="38">
      <c r="A20" s="48" t="inlineStr">
        <is>
          <t>!! «Ліцензований обсяг» на аркуші розрахунку — це ЄМНІСТЬ ЗА ЛІЦЕНЗІЄЮ, а не кількість бюджетних місць.</t>
        </is>
      </c>
    </row>
    <row r="21" ht="15" customHeight="1" s="38">
      <c r="A21" s="49" t="inlineStr">
        <is>
          <t>Розподіл держзамовлення між ЗВО торік відбувся 15 вересня — тобто вже після дедлайну подачі заяв.</t>
        </is>
      </c>
    </row>
    <row r="23">
      <c r="A23" s="37" t="inlineStr">
        <is>
          <t>УВАГА, КАНДИДАТ 2. Пріоритет — НУ «Запорізька політехніка», «Електронна інженерія». Це галузь «Інженерія, виробництво та будівництво», а НЕ «Інформаційні технології»: аркуш «Розрахунок по ЗВО» покриває лише F1-F7 і цієї пропозиції не містить. Квота держзамовлення на IT (769 місць) до неї теж не стосується — електроніка фінансується з іншої галузевої квоти.</t>
        </is>
      </c>
    </row>
    <row r="24">
      <c r="A24" s="37" t="inlineStr">
        <is>
          <t>Ваги випробувань у «Електронній інженерії» майже напевно інші, ніж у F3. Поки пропозицію не вивантажено зі «Вступ.ОСВІТА.UA», КБ по ній не рахується.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1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7" min="1" max="1"/>
    <col width="44" customWidth="1" style="37" min="2" max="2"/>
    <col width="18" customWidth="1" style="37" min="3" max="3"/>
    <col width="15" customWidth="1" style="37" min="4" max="4"/>
    <col width="16" customWidth="1" style="37" min="5" max="5"/>
    <col width="14" customWidth="1" style="37" min="6" max="6"/>
    <col width="16" customWidth="1" style="37" min="7" max="7"/>
    <col width="50" customWidth="1" style="37" min="8" max="8"/>
    <col width="32" customWidth="1" style="37" min="9" max="9"/>
    <col width="34" customWidth="1" style="37" min="10" max="10"/>
    <col width="16" customWidth="1" style="37" min="11" max="11"/>
    <col width="7" customWidth="1" style="37" min="12" max="12"/>
    <col width="12" customWidth="1" style="37" min="13" max="13"/>
    <col width="15" customWidth="1" style="37" min="14" max="14"/>
    <col width="8" customWidth="1" style="37" min="15" max="15"/>
    <col width="12" customWidth="1" style="37" min="16" max="16"/>
    <col width="8" customWidth="1" style="37" min="17" max="17"/>
    <col width="12" customWidth="1" style="37" min="18" max="18"/>
    <col width="13" customWidth="1" style="37" min="19" max="21"/>
    <col width="12" customWidth="1" style="37" min="22" max="23"/>
    <col width="16" customWidth="1" style="37" min="24" max="25"/>
    <col width="46" customWidth="1" style="37" min="26" max="26"/>
    <col width="54" customWidth="1" style="37" min="27" max="27"/>
    <col width="18" customWidth="1" style="37" min="28" max="28"/>
    <col width="13" customWidth="1" style="37" min="29" max="29"/>
    <col width="30" customWidth="1" style="37" min="30" max="30"/>
    <col width="42" customWidth="1" style="37" min="31" max="31"/>
    <col width="40" customWidth="1" style="37" min="32" max="32"/>
    <col width="16" customWidth="1" style="37" min="33" max="33"/>
    <col width="13" customWidth="1" style="37" min="34" max="34"/>
    <col width="16" customWidth="1" style="37" min="35" max="35"/>
    <col width="14" customWidth="1" style="38" min="36" max="36"/>
    <col width="16" customWidth="1" style="38" min="37" max="37"/>
    <col width="14" customWidth="1" style="38" min="38" max="38"/>
    <col width="22" customWidth="1" style="38" min="39" max="39"/>
    <col width="22" customWidth="1" style="38" min="40" max="40"/>
  </cols>
  <sheetData>
    <row r="1" ht="39.75" customHeight="1" s="38">
      <c r="A1" s="50" t="inlineStr">
        <is>
          <t>СПЕЦІАЛЬНІСТЬ</t>
        </is>
      </c>
      <c r="B1" s="50" t="inlineStr">
        <is>
          <t>ЗВО</t>
        </is>
      </c>
      <c r="C1" s="50" t="inlineStr">
        <is>
          <t>Місто</t>
        </is>
      </c>
      <c r="D1" s="50" t="inlineStr">
        <is>
          <t>Регіон</t>
        </is>
      </c>
      <c r="E1" s="50" t="inlineStr">
        <is>
          <t>Денна бюджетна?</t>
        </is>
      </c>
      <c r="F1" s="50" t="inlineStr">
        <is>
          <t>Тип пропозиції</t>
        </is>
      </c>
      <c r="G1" s="50" t="inlineStr">
        <is>
          <t>Переміщений ЗВО</t>
        </is>
      </c>
      <c r="H1" s="50" t="inlineStr">
        <is>
          <t>Примітка про переміщення</t>
        </is>
      </c>
      <c r="I1" s="50" t="inlineStr">
        <is>
          <t>Освітня програма</t>
        </is>
      </c>
      <c r="J1" s="50" t="inlineStr">
        <is>
          <t>Факультет</t>
        </is>
      </c>
      <c r="K1" s="50" t="inlineStr">
        <is>
          <t>Ліцензований обсяг (НЕ дорівнює кількості бюджетних місць)</t>
        </is>
      </c>
      <c r="L1" s="50" t="inlineStr">
        <is>
          <t>Заяв</t>
        </is>
      </c>
      <c r="M1" s="50" t="inlineStr">
        <is>
          <t>Заяв на 1 ліценз. місце</t>
        </is>
      </c>
      <c r="N1" s="50" t="inlineStr">
        <is>
          <t>Дані станом на</t>
        </is>
      </c>
      <c r="O1" s="50" t="inlineStr">
        <is>
          <t>k іспит</t>
        </is>
      </c>
      <c r="P1" s="50" t="inlineStr">
        <is>
          <t>k пропозиція</t>
        </is>
      </c>
      <c r="Q1" s="50" t="inlineStr">
        <is>
          <t>k дод.</t>
        </is>
      </c>
      <c r="R1" s="50" t="inlineStr">
        <is>
          <t>Мін. бал іспит</t>
        </is>
      </c>
      <c r="S1" s="50" t="inlineStr">
        <is>
          <t>Мін. бал пропоз.</t>
        </is>
      </c>
      <c r="T1" s="50" t="inlineStr">
        <is>
          <t>КБ — кандидат 1</t>
        </is>
      </c>
      <c r="U1" s="50" t="inlineStr">
        <is>
          <t>КБ — кандидат 2</t>
        </is>
      </c>
      <c r="V1" s="50" t="inlineStr">
        <is>
          <t>Допуск К1</t>
        </is>
      </c>
      <c r="W1" s="50" t="inlineStr">
        <is>
          <t>Допуск К2</t>
        </is>
      </c>
      <c r="X1" s="50" t="inlineStr">
        <is>
          <t>Пороги К1</t>
        </is>
      </c>
      <c r="Y1" s="50" t="inlineStr">
        <is>
          <t>Пороги К2</t>
        </is>
      </c>
      <c r="Z1" s="50" t="inlineStr">
        <is>
          <t>Тип відбору</t>
        </is>
      </c>
      <c r="AA1" s="50" t="inlineStr">
        <is>
          <t>Інші випробування / нюанси</t>
        </is>
      </c>
      <c r="AB1" s="50" t="inlineStr">
        <is>
          <t>ДАТА іспиту зі спец.</t>
        </is>
      </c>
      <c r="AC1" s="50" t="inlineStr">
        <is>
          <t>ЧАС іспиту</t>
        </is>
      </c>
      <c r="AD1" s="50" t="inlineStr">
        <is>
          <t>МІСЦЕ / формат складання</t>
        </is>
      </c>
      <c r="AE1" s="50" t="inlineStr">
        <is>
          <t>Контакти</t>
        </is>
      </c>
      <c r="AF1" s="50" t="inlineStr">
        <is>
          <t>Сторінка пропозиції</t>
        </is>
      </c>
      <c r="AG1" s="50" t="inlineStr">
        <is>
          <t>Дистанційно?</t>
        </is>
      </c>
      <c r="AH1" s="50" t="inlineStr">
        <is>
          <t>Приїздів/рік</t>
        </is>
      </c>
      <c r="AI1" s="50" t="inlineStr">
        <is>
          <t>Запит/відповідь</t>
        </is>
      </c>
      <c r="AJ1" s="75" t="inlineStr">
        <is>
          <t>Мін. бал ЄВВ</t>
        </is>
      </c>
      <c r="AK1" s="75" t="inlineStr">
        <is>
          <t>Мін. бал іноземної</t>
        </is>
      </c>
      <c r="AL1" s="75" t="inlineStr">
        <is>
          <t>Мін. бал ТЗНК</t>
        </is>
      </c>
      <c r="AM1" s="75" t="inlineStr">
        <is>
          <t>Допуск ЄВВ К1</t>
        </is>
      </c>
      <c r="AN1" s="75" t="inlineStr">
        <is>
          <t>Допуск ЄВВ К2</t>
        </is>
      </c>
    </row>
    <row r="2" ht="15" customHeight="1" s="38">
      <c r="A2" s="51" t="inlineStr">
        <is>
          <t>F3 Комп'ютерні науки</t>
        </is>
      </c>
      <c r="B2" s="52" t="inlineStr">
        <is>
          <t>Інститут проблем моделювання в енергетиці ім. Г. Є. Пухова НАНУ</t>
        </is>
      </c>
      <c r="C2" s="52" t="inlineStr">
        <is>
          <t>Київ</t>
        </is>
      </c>
      <c r="D2" s="53" t="inlineStr">
        <is>
          <t>Київ</t>
        </is>
      </c>
      <c r="E2" s="54" t="inlineStr">
        <is>
          <t>ТАК</t>
        </is>
      </c>
      <c r="F2" s="53" t="inlineStr">
        <is>
          <t>Фіксована</t>
        </is>
      </c>
      <c r="G2" s="55" t="inlineStr">
        <is>
          <t>ні</t>
        </is>
      </c>
      <c r="H2" s="52" t="n"/>
      <c r="I2" s="52" t="inlineStr">
        <is>
          <t>Комп'ютерні науки</t>
        </is>
      </c>
      <c r="J2" s="52" t="n"/>
      <c r="K2" s="52" t="n">
        <v>13</v>
      </c>
      <c r="L2" s="52" t="n">
        <v>10</v>
      </c>
      <c r="M2" s="56">
        <f>IF(K2=0,"н/д",L2/K2)</f>
        <v/>
      </c>
      <c r="N2" s="52" t="inlineStr">
        <is>
          <t>26.08.2026</t>
        </is>
      </c>
      <c r="O2" s="57" t="n">
        <v>0.6</v>
      </c>
      <c r="P2" s="57" t="n">
        <v>0</v>
      </c>
      <c r="Q2" s="57" t="n">
        <v>0</v>
      </c>
      <c r="R2" s="52" t="inlineStr">
        <is>
          <t>—</t>
        </is>
      </c>
      <c r="S2" s="52" t="inlineStr">
        <is>
          <t>—</t>
        </is>
      </c>
      <c r="T2" s="58">
        <f>0.2*'Бали кандидатів'!$B$6+0.2*'Бали кандидатів'!$B$7+O2*'Бали кандидатів'!$B$9+P2*'Бали кандидатів'!$B$10+Q2*'Бали кандидатів'!$B$11</f>
        <v/>
      </c>
      <c r="U2" s="58">
        <f>0.2*'Бали кандидатів'!$C$6+0.2*'Бали кандидатів'!$C$7+O2*'Бали кандидатів'!$C$9+P2*'Бали кандидатів'!$C$10+Q2*'Бали кандидатів'!$C$11</f>
        <v/>
      </c>
      <c r="V2" s="59">
        <f>IF('Бали кандидатів'!$B$14&gt;=300,"OK","НЕ ДОПУЩЕНО")</f>
        <v/>
      </c>
      <c r="W2" s="59">
        <f>IF('Бали кандидатів'!$C$14&gt;=300,"OK","НЕ ДОПУЩЕНО")</f>
        <v/>
      </c>
      <c r="X2" s="52">
        <f>IF(AND(OR(R2="—",'Бали кандидатів'!$B$9&gt;=R2),OR(S2="—",'Бали кандидатів'!$B$10&gt;=S2)),"проходить","НИЖЧЕ мін. балу")</f>
        <v/>
      </c>
      <c r="Y2" s="55">
        <f>IF(AND(OR(R2="—",'Бали кандидатів'!$C$9&gt;=R2),OR(S2="—",'Бали кандидатів'!$C$10&gt;=S2)),"проходить","НИЖЧЕ мін. балу")</f>
        <v/>
      </c>
      <c r="Z2" s="55" t="inlineStr">
        <is>
          <t>Тільки іспит зі спеціальності</t>
        </is>
      </c>
      <c r="AA2" s="60" t="inlineStr">
        <is>
          <t>Мін. бал за ЄВВ підвищено до 150 (у вас 158.5 — проходить)</t>
        </is>
      </c>
      <c r="AB2" s="60" t="n"/>
      <c r="AC2" s="52" t="n"/>
      <c r="AD2" s="60" t="n"/>
      <c r="AE2" s="52" t="inlineStr">
        <is>
          <t>https://vstup.osvita.ua/r27/3487/entrance.html</t>
        </is>
      </c>
      <c r="AF2" s="60" t="inlineStr">
        <is>
          <t>https://vstup.osvita.ua/y2026/r27/3487/1654421/</t>
        </is>
      </c>
      <c r="AG2" s="60" t="n"/>
      <c r="AH2" s="60" t="n"/>
      <c r="AI2" s="52" t="n"/>
      <c r="AJ2" s="37" t="inlineStr"/>
      <c r="AK2" s="37" t="inlineStr"/>
      <c r="AL2" s="37" t="inlineStr"/>
      <c r="AM2" s="37">
        <f>IF(AJ2="","дані ще не вивантажені",IF('Бали кандидатів'!$B$7&gt;=AJ2,"проходить","НЕ проходить за ЄВВ"))</f>
        <v/>
      </c>
      <c r="AN2" s="37">
        <f>IF(AJ2="","дані ще не вивантажені",IF('Бали кандидатів'!$C$7&gt;=AJ2,"проходить","НЕ проходить за ЄВВ"))</f>
        <v/>
      </c>
    </row>
    <row r="3" ht="26.85" customHeight="1" s="38">
      <c r="A3" s="51" t="inlineStr">
        <is>
          <t>F3 Комп'ютерні науки</t>
        </is>
      </c>
      <c r="B3" s="52" t="inlineStr">
        <is>
          <t>Харківський національний університет ім. В. Н. Каразіна</t>
        </is>
      </c>
      <c r="C3" s="52" t="inlineStr">
        <is>
          <t>Харків</t>
        </is>
      </c>
      <c r="D3" s="53" t="inlineStr">
        <is>
          <t>Харківська</t>
        </is>
      </c>
      <c r="E3" s="54" t="inlineStr">
        <is>
          <t>ТАК</t>
        </is>
      </c>
      <c r="F3" s="53" t="inlineStr">
        <is>
          <t>Фіксована</t>
        </is>
      </c>
      <c r="G3" s="55" t="inlineStr">
        <is>
          <t>ні</t>
        </is>
      </c>
      <c r="H3" s="52" t="n"/>
      <c r="I3" s="52" t="inlineStr">
        <is>
          <t>Комп'ютерні науки</t>
        </is>
      </c>
      <c r="J3" s="52" t="inlineStr">
        <is>
          <t>Математики і інформатики</t>
        </is>
      </c>
      <c r="K3" s="52" t="n">
        <v>10</v>
      </c>
      <c r="L3" s="61" t="n">
        <v>9</v>
      </c>
      <c r="M3" s="56">
        <f>IF(K3=0,"н/д",L3/K3)</f>
        <v/>
      </c>
      <c r="N3" s="62" t="inlineStr">
        <is>
          <t>25.08.2026 (застаріле)</t>
        </is>
      </c>
      <c r="O3" s="57" t="n">
        <v>0.2</v>
      </c>
      <c r="P3" s="57" t="n">
        <v>0.4</v>
      </c>
      <c r="Q3" s="57" t="n">
        <v>0</v>
      </c>
      <c r="R3" s="52" t="n">
        <v>100</v>
      </c>
      <c r="S3" s="52" t="n">
        <v>100</v>
      </c>
      <c r="T3" s="58">
        <f>0.2*'Бали кандидатів'!$B$6+0.2*'Бали кандидатів'!$B$7+O3*'Бали кандидатів'!$B$9+P3*'Бали кандидатів'!$B$10+Q3*'Бали кандидатів'!$B$11</f>
        <v/>
      </c>
      <c r="U3" s="58">
        <f>0.2*'Бали кандидатів'!$C$6+0.2*'Бали кандидатів'!$C$7+O3*'Бали кандидатів'!$C$9+P3*'Бали кандидатів'!$C$10+Q3*'Бали кандидатів'!$C$11</f>
        <v/>
      </c>
      <c r="V3" s="59">
        <f>IF('Бали кандидатів'!$B$14&gt;=300,"OK","НЕ ДОПУЩЕНО")</f>
        <v/>
      </c>
      <c r="W3" s="59">
        <f>IF('Бали кандидатів'!$C$14&gt;=300,"OK","НЕ ДОПУЩЕНО")</f>
        <v/>
      </c>
      <c r="X3" s="52">
        <f>IF(AND(OR(R3="—",'Бали кандидатів'!$B$9&gt;=R3),OR(S3="—",'Бали кандидатів'!$B$10&gt;=S3)),"проходить","НИЖЧЕ мін. балу")</f>
        <v/>
      </c>
      <c r="Y3" s="55">
        <f>IF(AND(OR(R3="—",'Бали кандидатів'!$C$9&gt;=R3),OR(S3="—",'Бали кандидатів'!$C$10&gt;=S3)),"проходить","НИЖЧЕ мін. балу")</f>
        <v/>
      </c>
      <c r="Z3" s="55" t="inlineStr">
        <is>
          <t>Дослідницька пропозиція важить більше або нарівні з іспитом</t>
        </is>
      </c>
      <c r="AA3" s="60" t="inlineStr">
        <is>
          <t>Плюс додатковий іспит зі спеціальності (вага 0)</t>
        </is>
      </c>
      <c r="AB3" s="60" t="n"/>
      <c r="AC3" s="52" t="n"/>
      <c r="AD3" s="60" t="n"/>
      <c r="AE3" s="52" t="inlineStr">
        <is>
          <t>https://vstup.osvita.ua/r21/62/entrance.html</t>
        </is>
      </c>
      <c r="AF3" s="60" t="inlineStr">
        <is>
          <t>https://vstup.osvita.ua/y2026/r21/62/1652199/</t>
        </is>
      </c>
      <c r="AG3" s="60" t="n"/>
      <c r="AH3" s="60" t="n"/>
      <c r="AI3" s="52" t="n"/>
      <c r="AJ3" s="37" t="inlineStr"/>
      <c r="AK3" s="37" t="inlineStr"/>
      <c r="AL3" s="37" t="inlineStr"/>
      <c r="AM3" s="37">
        <f>IF(AJ3="","дані ще не вивантажені",IF('Бали кандидатів'!$B$7&gt;=AJ3,"проходить","НЕ проходить за ЄВВ"))</f>
        <v/>
      </c>
      <c r="AN3" s="37">
        <f>IF(AJ3="","дані ще не вивантажені",IF('Бали кандидатів'!$C$7&gt;=AJ3,"проходить","НЕ проходить за ЄВВ"))</f>
        <v/>
      </c>
    </row>
    <row r="4" ht="26.85" customHeight="1" s="38">
      <c r="A4" s="51" t="inlineStr">
        <is>
          <t>F4 Системний аналіз</t>
        </is>
      </c>
      <c r="B4" s="52" t="inlineStr">
        <is>
          <t>НУ «Львівська політехніка»</t>
        </is>
      </c>
      <c r="C4" s="52" t="inlineStr">
        <is>
          <t>Львів</t>
        </is>
      </c>
      <c r="D4" s="53" t="inlineStr">
        <is>
          <t>Львівська</t>
        </is>
      </c>
      <c r="E4" s="54" t="inlineStr">
        <is>
          <t>ТАК</t>
        </is>
      </c>
      <c r="F4" s="53" t="inlineStr">
        <is>
          <t>Фіксована</t>
        </is>
      </c>
      <c r="G4" s="55" t="inlineStr">
        <is>
          <t>ні</t>
        </is>
      </c>
      <c r="H4" s="52" t="n"/>
      <c r="I4" s="52" t="inlineStr">
        <is>
          <t>Системний аналіз та наука про дані</t>
        </is>
      </c>
      <c r="J4" s="52" t="inlineStr">
        <is>
          <t>Інститут комп. наук та інформаційних технологій</t>
        </is>
      </c>
      <c r="K4" s="52" t="n">
        <v>23</v>
      </c>
      <c r="L4" s="52" t="n">
        <v>21</v>
      </c>
      <c r="M4" s="56">
        <f>IF(K4=0,"н/д",L4/K4)</f>
        <v/>
      </c>
      <c r="N4" s="52" t="inlineStr">
        <is>
          <t>26.08.2026</t>
        </is>
      </c>
      <c r="O4" s="63" t="inlineStr">
        <is>
          <t>?</t>
        </is>
      </c>
      <c r="P4" s="63" t="inlineStr">
        <is>
          <t>?</t>
        </is>
      </c>
      <c r="Q4" s="63" t="inlineStr">
        <is>
          <t>?</t>
        </is>
      </c>
      <c r="R4" s="52" t="inlineStr">
        <is>
          <t>?</t>
        </is>
      </c>
      <c r="S4" s="52" t="inlineStr">
        <is>
          <t>?</t>
        </is>
      </c>
      <c r="T4" s="64" t="inlineStr">
        <is>
          <t>ваги невідомі</t>
        </is>
      </c>
      <c r="U4" s="64" t="inlineStr">
        <is>
          <t>ваги невідомі</t>
        </is>
      </c>
      <c r="V4" s="59">
        <f>IF('Бали кандидатів'!$B$14&gt;=300,"OK","НЕ ДОПУЩЕНО")</f>
        <v/>
      </c>
      <c r="W4" s="59">
        <f>IF('Бали кандидатів'!$C$14&gt;=300,"OK","НЕ ДОПУЩЕНО")</f>
        <v/>
      </c>
      <c r="X4" s="52" t="inlineStr">
        <is>
          <t>—</t>
        </is>
      </c>
      <c r="Y4" s="55" t="inlineStr">
        <is>
          <t>—</t>
        </is>
      </c>
      <c r="Z4" s="55" t="inlineStr">
        <is>
          <t>ваги не зчитані — уточнити на сторінці пропозиції</t>
        </is>
      </c>
      <c r="AA4" s="54" t="inlineStr">
        <is>
          <t>Складові конкурсного бала у вихідних даних відсутні — відкрити «Детальніше» на сторінці ЗВО</t>
        </is>
      </c>
      <c r="AB4" s="54" t="inlineStr">
        <is>
          <t>09.09.2026</t>
        </is>
      </c>
      <c r="AC4" s="52" t="inlineStr">
        <is>
          <t>14:30</t>
        </is>
      </c>
      <c r="AD4" s="60" t="inlineStr">
        <is>
          <t>I навчальний корпус, вул. Старосольських 2/4, Львів (ІКНІ)</t>
        </is>
      </c>
      <c r="AE4" s="52" t="inlineStr">
        <is>
          <t>https://vstup.osvita.ua/r14/97/entrance.html</t>
        </is>
      </c>
      <c r="AF4" s="60" t="inlineStr">
        <is>
          <t>https://vstup.osvita.ua/r14/97/</t>
        </is>
      </c>
      <c r="AG4" s="60" t="n"/>
      <c r="AH4" s="60" t="n"/>
      <c r="AI4" s="52" t="n"/>
      <c r="AJ4" s="37" t="inlineStr"/>
      <c r="AK4" s="37" t="inlineStr"/>
      <c r="AL4" s="37" t="inlineStr"/>
      <c r="AM4" s="37">
        <f>IF(AJ4="","дані ще не вивантажені",IF('Бали кандидатів'!$B$7&gt;=AJ4,"проходить","НЕ проходить за ЄВВ"))</f>
        <v/>
      </c>
      <c r="AN4" s="37">
        <f>IF(AJ4="","дані ще не вивантажені",IF('Бали кандидатів'!$C$7&gt;=AJ4,"проходить","НЕ проходить за ЄВВ"))</f>
        <v/>
      </c>
    </row>
    <row r="5" ht="26.85" customHeight="1" s="38">
      <c r="A5" s="51" t="inlineStr">
        <is>
          <t>F3 Комп'ютерні науки</t>
        </is>
      </c>
      <c r="B5" s="52" t="inlineStr">
        <is>
          <t>Інститут прикладних систем управління НАНУ</t>
        </is>
      </c>
      <c r="C5" s="52" t="inlineStr">
        <is>
          <t>Київ</t>
        </is>
      </c>
      <c r="D5" s="53" t="inlineStr">
        <is>
          <t>Київ</t>
        </is>
      </c>
      <c r="E5" s="54" t="inlineStr">
        <is>
          <t>ТАК</t>
        </is>
      </c>
      <c r="F5" s="53" t="inlineStr">
        <is>
          <t>Фіксована</t>
        </is>
      </c>
      <c r="G5" s="55" t="inlineStr">
        <is>
          <t>ні</t>
        </is>
      </c>
      <c r="H5" s="52" t="n"/>
      <c r="I5" s="52" t="inlineStr">
        <is>
          <t>Комп'ютерні науки</t>
        </is>
      </c>
      <c r="J5" s="52" t="n"/>
      <c r="K5" s="52" t="n">
        <v>7</v>
      </c>
      <c r="L5" s="52" t="n">
        <v>7</v>
      </c>
      <c r="M5" s="56">
        <f>IF(K5=0,"н/д",L5/K5)</f>
        <v/>
      </c>
      <c r="N5" s="52" t="inlineStr">
        <is>
          <t>26.08.2026</t>
        </is>
      </c>
      <c r="O5" s="57" t="n">
        <v>0.3</v>
      </c>
      <c r="P5" s="57" t="n">
        <v>0.3</v>
      </c>
      <c r="Q5" s="57" t="n">
        <v>0</v>
      </c>
      <c r="R5" s="52" t="inlineStr">
        <is>
          <t>—</t>
        </is>
      </c>
      <c r="S5" s="52" t="inlineStr">
        <is>
          <t>—</t>
        </is>
      </c>
      <c r="T5" s="58">
        <f>0.2*'Бали кандидатів'!$B$6+0.2*'Бали кандидатів'!$B$7+O5*'Бали кандидатів'!$B$9+P5*'Бали кандидатів'!$B$10+Q5*'Бали кандидатів'!$B$11</f>
        <v/>
      </c>
      <c r="U5" s="58">
        <f>0.2*'Бали кандидатів'!$C$6+0.2*'Бали кандидатів'!$C$7+O5*'Бали кандидатів'!$C$9+P5*'Бали кандидатів'!$C$10+Q5*'Бали кандидатів'!$C$11</f>
        <v/>
      </c>
      <c r="V5" s="59">
        <f>IF('Бали кандидатів'!$B$14&gt;=300,"OK","НЕ ДОПУЩЕНО")</f>
        <v/>
      </c>
      <c r="W5" s="59">
        <f>IF('Бали кандидатів'!$C$14&gt;=300,"OK","НЕ ДОПУЩЕНО")</f>
        <v/>
      </c>
      <c r="X5" s="52">
        <f>IF(AND(OR(R5="—",'Бали кандидатів'!$B$9&gt;=R5),OR(S5="—",'Бали кандидатів'!$B$10&gt;=S5)),"проходить","НИЖЧЕ мін. балу")</f>
        <v/>
      </c>
      <c r="Y5" s="55">
        <f>IF(AND(OR(R5="—",'Бали кандидатів'!$C$9&gt;=R5),OR(S5="—",'Бали кандидатів'!$C$10&gt;=S5)),"проходить","НИЖЧЕ мін. балу")</f>
        <v/>
      </c>
      <c r="Z5" s="55" t="inlineStr">
        <is>
          <t>Дослідницька пропозиція важить більше або нарівні з іспитом</t>
        </is>
      </c>
      <c r="AA5" s="60" t="n"/>
      <c r="AB5" s="60" t="n"/>
      <c r="AC5" s="52" t="n"/>
      <c r="AD5" s="60" t="n"/>
      <c r="AE5" s="52" t="inlineStr">
        <is>
          <t>https://vstup.osvita.ua/r27/7303/entrance.html</t>
        </is>
      </c>
      <c r="AF5" s="60" t="inlineStr">
        <is>
          <t>https://vstup.osvita.ua/y2026/r27/7303/1669043/</t>
        </is>
      </c>
      <c r="AG5" s="60" t="n"/>
      <c r="AH5" s="60" t="n"/>
      <c r="AI5" s="52" t="n"/>
      <c r="AJ5" s="37" t="inlineStr"/>
      <c r="AK5" s="37" t="inlineStr"/>
      <c r="AL5" s="37" t="inlineStr"/>
      <c r="AM5" s="37">
        <f>IF(AJ5="","дані ще не вивантажені",IF('Бали кандидатів'!$B$7&gt;=AJ5,"проходить","НЕ проходить за ЄВВ"))</f>
        <v/>
      </c>
      <c r="AN5" s="37">
        <f>IF(AJ5="","дані ще не вивантажені",IF('Бали кандидатів'!$C$7&gt;=AJ5,"проходить","НЕ проходить за ЄВВ"))</f>
        <v/>
      </c>
    </row>
    <row r="6" ht="15" customHeight="1" s="38">
      <c r="A6" s="51" t="inlineStr">
        <is>
          <t>F2 Інженерія ПЗ</t>
        </is>
      </c>
      <c r="B6" s="52" t="inlineStr">
        <is>
          <t>НУ «Чернігівська політехніка»</t>
        </is>
      </c>
      <c r="C6" s="52" t="inlineStr">
        <is>
          <t>Чернігів</t>
        </is>
      </c>
      <c r="D6" s="53" t="inlineStr">
        <is>
          <t>Чернігівська</t>
        </is>
      </c>
      <c r="E6" s="54" t="inlineStr">
        <is>
          <t>ТАК</t>
        </is>
      </c>
      <c r="F6" s="53" t="inlineStr">
        <is>
          <t>Фіксована</t>
        </is>
      </c>
      <c r="G6" s="55" t="inlineStr">
        <is>
          <t>ні</t>
        </is>
      </c>
      <c r="H6" s="52" t="n"/>
      <c r="I6" s="52" t="inlineStr">
        <is>
          <t>Інженерія програмного забезпечення</t>
        </is>
      </c>
      <c r="J6" s="52" t="inlineStr">
        <is>
          <t>Аспірантура</t>
        </is>
      </c>
      <c r="K6" s="52" t="n">
        <v>5</v>
      </c>
      <c r="L6" s="52" t="n">
        <v>5</v>
      </c>
      <c r="M6" s="56">
        <f>IF(K6=0,"н/д",L6/K6)</f>
        <v/>
      </c>
      <c r="N6" s="52" t="inlineStr">
        <is>
          <t>26.08.2026</t>
        </is>
      </c>
      <c r="O6" s="57" t="n">
        <v>0.6</v>
      </c>
      <c r="P6" s="57" t="n">
        <v>0</v>
      </c>
      <c r="Q6" s="57" t="n">
        <v>0</v>
      </c>
      <c r="R6" s="52" t="inlineStr">
        <is>
          <t>—</t>
        </is>
      </c>
      <c r="S6" s="52" t="inlineStr">
        <is>
          <t>—</t>
        </is>
      </c>
      <c r="T6" s="58">
        <f>0.2*'Бали кандидатів'!$B$6+0.2*'Бали кандидатів'!$B$7+O6*'Бали кандидатів'!$B$9+P6*'Бали кандидатів'!$B$10+Q6*'Бали кандидатів'!$B$11</f>
        <v/>
      </c>
      <c r="U6" s="58">
        <f>0.2*'Бали кандидатів'!$C$6+0.2*'Бали кандидатів'!$C$7+O6*'Бали кандидатів'!$C$9+P6*'Бали кандидатів'!$C$10+Q6*'Бали кандидатів'!$C$11</f>
        <v/>
      </c>
      <c r="V6" s="59">
        <f>IF('Бали кандидатів'!$B$14&gt;=300,"OK","НЕ ДОПУЩЕНО")</f>
        <v/>
      </c>
      <c r="W6" s="59">
        <f>IF('Бали кандидатів'!$C$14&gt;=300,"OK","НЕ ДОПУЩЕНО")</f>
        <v/>
      </c>
      <c r="X6" s="52">
        <f>IF(AND(OR(R6="—",'Бали кандидатів'!$B$9&gt;=R6),OR(S6="—",'Бали кандидатів'!$B$10&gt;=S6)),"проходить","НИЖЧЕ мін. балу")</f>
        <v/>
      </c>
      <c r="Y6" s="55">
        <f>IF(AND(OR(R6="—",'Бали кандидатів'!$C$9&gt;=R6),OR(S6="—",'Бали кандидатів'!$C$10&gt;=S6)),"проходить","НИЖЧЕ мін. балу")</f>
        <v/>
      </c>
      <c r="Z6" s="55" t="inlineStr">
        <is>
          <t>Тільки іспит зі спеціальності</t>
        </is>
      </c>
      <c r="AA6" s="60" t="n"/>
      <c r="AB6" s="60" t="n"/>
      <c r="AC6" s="52" t="n"/>
      <c r="AD6" s="60" t="n"/>
      <c r="AE6" s="52" t="inlineStr">
        <is>
          <t>https://vstup.osvita.ua/r26/140/entrance.html</t>
        </is>
      </c>
      <c r="AF6" s="60" t="inlineStr">
        <is>
          <t>https://vstup.osvita.ua/y2026/r26/140/1642941/</t>
        </is>
      </c>
      <c r="AG6" s="60" t="n"/>
      <c r="AH6" s="60" t="n"/>
      <c r="AI6" s="52" t="n"/>
      <c r="AJ6" s="37" t="inlineStr"/>
      <c r="AK6" s="37" t="inlineStr"/>
      <c r="AL6" s="37" t="inlineStr"/>
      <c r="AM6" s="37">
        <f>IF(AJ6="","дані ще не вивантажені",IF('Бали кандидатів'!$B$7&gt;=AJ6,"проходить","НЕ проходить за ЄВВ"))</f>
        <v/>
      </c>
      <c r="AN6" s="37">
        <f>IF(AJ6="","дані ще не вивантажені",IF('Бали кандидатів'!$C$7&gt;=AJ6,"проходить","НЕ проходить за ЄВВ"))</f>
        <v/>
      </c>
    </row>
    <row r="7" ht="15" customHeight="1" s="38">
      <c r="A7" s="51" t="inlineStr">
        <is>
          <t>F2 Інженерія ПЗ</t>
        </is>
      </c>
      <c r="B7" s="52" t="inlineStr">
        <is>
          <t>Ужгородський національний університет</t>
        </is>
      </c>
      <c r="C7" s="52" t="inlineStr">
        <is>
          <t>Ужгород</t>
        </is>
      </c>
      <c r="D7" s="53" t="inlineStr">
        <is>
          <t>Закарпатська</t>
        </is>
      </c>
      <c r="E7" s="54" t="inlineStr">
        <is>
          <t>ТАК</t>
        </is>
      </c>
      <c r="F7" s="53" t="inlineStr">
        <is>
          <t>Фіксована</t>
        </is>
      </c>
      <c r="G7" s="55" t="inlineStr">
        <is>
          <t>ні</t>
        </is>
      </c>
      <c r="H7" s="52" t="n"/>
      <c r="I7" s="52" t="inlineStr">
        <is>
          <t>Інженерія програмного забезпечення</t>
        </is>
      </c>
      <c r="J7" s="52" t="inlineStr">
        <is>
          <t>Факультет інформаційних технологій</t>
        </is>
      </c>
      <c r="K7" s="52" t="n">
        <v>8</v>
      </c>
      <c r="L7" s="52" t="n">
        <v>8</v>
      </c>
      <c r="M7" s="56">
        <f>IF(K7=0,"н/д",L7/K7)</f>
        <v/>
      </c>
      <c r="N7" s="52" t="inlineStr">
        <is>
          <t>26.08.2026</t>
        </is>
      </c>
      <c r="O7" s="57" t="n">
        <v>0.4</v>
      </c>
      <c r="P7" s="57" t="n">
        <v>0.2</v>
      </c>
      <c r="Q7" s="57" t="n">
        <v>0</v>
      </c>
      <c r="R7" s="52" t="n">
        <v>100</v>
      </c>
      <c r="S7" s="52" t="n">
        <v>100</v>
      </c>
      <c r="T7" s="58">
        <f>0.2*'Бали кандидатів'!$B$6+0.2*'Бали кандидатів'!$B$7+O7*'Бали кандидатів'!$B$9+P7*'Бали кандидатів'!$B$10+Q7*'Бали кандидатів'!$B$11</f>
        <v/>
      </c>
      <c r="U7" s="58">
        <f>0.2*'Бали кандидатів'!$C$6+0.2*'Бали кандидатів'!$C$7+O7*'Бали кандидатів'!$C$9+P7*'Бали кандидатів'!$C$10+Q7*'Бали кандидатів'!$C$11</f>
        <v/>
      </c>
      <c r="V7" s="59">
        <f>IF('Бали кандидатів'!$B$14&gt;=300,"OK","НЕ ДОПУЩЕНО")</f>
        <v/>
      </c>
      <c r="W7" s="59">
        <f>IF('Бали кандидатів'!$C$14&gt;=300,"OK","НЕ ДОПУЩЕНО")</f>
        <v/>
      </c>
      <c r="X7" s="52">
        <f>IF(AND(OR(R7="—",'Бали кандидатів'!$B$9&gt;=R7),OR(S7="—",'Бали кандидатів'!$B$10&gt;=S7)),"проходить","НИЖЧЕ мін. балу")</f>
        <v/>
      </c>
      <c r="Y7" s="55">
        <f>IF(AND(OR(R7="—",'Бали кандидатів'!$C$9&gt;=R7),OR(S7="—",'Бали кандидатів'!$C$10&gt;=S7)),"проходить","НИЖЧЕ мін. балу")</f>
        <v/>
      </c>
      <c r="Z7" s="55" t="inlineStr">
        <is>
          <t>Іспит + дослідницька пропозиція</t>
        </is>
      </c>
      <c r="AA7" s="60" t="n"/>
      <c r="AB7" s="60" t="n"/>
      <c r="AC7" s="52" t="n"/>
      <c r="AD7" s="60" t="n"/>
      <c r="AE7" s="52" t="inlineStr">
        <is>
          <t>https://vstup.osvita.ua/r8/207/entrance.html</t>
        </is>
      </c>
      <c r="AF7" s="60" t="inlineStr">
        <is>
          <t>https://vstup.osvita.ua/y2026/r8/207/1643043/</t>
        </is>
      </c>
      <c r="AG7" s="60" t="n"/>
      <c r="AH7" s="60" t="n"/>
      <c r="AI7" s="52" t="n"/>
      <c r="AJ7" s="37" t="inlineStr"/>
      <c r="AK7" s="37" t="inlineStr"/>
      <c r="AL7" s="37" t="inlineStr"/>
      <c r="AM7" s="37">
        <f>IF(AJ7="","дані ще не вивантажені",IF('Бали кандидатів'!$B$7&gt;=AJ7,"проходить","НЕ проходить за ЄВВ"))</f>
        <v/>
      </c>
      <c r="AN7" s="37">
        <f>IF(AJ7="","дані ще не вивантажені",IF('Бали кандидатів'!$C$7&gt;=AJ7,"проходить","НЕ проходить за ЄВВ"))</f>
        <v/>
      </c>
    </row>
    <row r="8" ht="26.85" customHeight="1" s="38">
      <c r="A8" s="51" t="inlineStr">
        <is>
          <t>F2 Інженерія ПЗ</t>
        </is>
      </c>
      <c r="B8" s="52" t="inlineStr">
        <is>
          <t>МАУП (Міжрегіональна Академія управління персоналом)</t>
        </is>
      </c>
      <c r="C8" s="52" t="inlineStr">
        <is>
          <t>Київ</t>
        </is>
      </c>
      <c r="D8" s="53" t="inlineStr">
        <is>
          <t>Київ</t>
        </is>
      </c>
      <c r="E8" s="54" t="inlineStr">
        <is>
          <t>ТАК</t>
        </is>
      </c>
      <c r="F8" s="53" t="inlineStr">
        <is>
          <t>Фіксована</t>
        </is>
      </c>
      <c r="G8" s="55" t="inlineStr">
        <is>
          <t>ні</t>
        </is>
      </c>
      <c r="H8" s="52" t="n"/>
      <c r="I8" s="52" t="inlineStr">
        <is>
          <t>Інженерія програмного забезпечення</t>
        </is>
      </c>
      <c r="J8" s="52" t="n"/>
      <c r="K8" s="52" t="n">
        <v>15</v>
      </c>
      <c r="L8" s="52" t="n">
        <v>15</v>
      </c>
      <c r="M8" s="56">
        <f>IF(K8=0,"н/д",L8/K8)</f>
        <v/>
      </c>
      <c r="N8" s="52" t="inlineStr">
        <is>
          <t>26.08.2026</t>
        </is>
      </c>
      <c r="O8" s="57" t="n">
        <v>0.3</v>
      </c>
      <c r="P8" s="57" t="n">
        <v>0.3</v>
      </c>
      <c r="Q8" s="57" t="n">
        <v>0</v>
      </c>
      <c r="R8" s="52" t="n">
        <v>100</v>
      </c>
      <c r="S8" s="52" t="n">
        <v>100</v>
      </c>
      <c r="T8" s="58">
        <f>0.2*'Бали кандидатів'!$B$6+0.2*'Бали кандидатів'!$B$7+O8*'Бали кандидатів'!$B$9+P8*'Бали кандидатів'!$B$10+Q8*'Бали кандидатів'!$B$11</f>
        <v/>
      </c>
      <c r="U8" s="58">
        <f>0.2*'Бали кандидатів'!$C$6+0.2*'Бали кандидатів'!$C$7+O8*'Бали кандидатів'!$C$9+P8*'Бали кандидатів'!$C$10+Q8*'Бали кандидатів'!$C$11</f>
        <v/>
      </c>
      <c r="V8" s="59">
        <f>IF('Бали кандидатів'!$B$14&gt;=300,"OK","НЕ ДОПУЩЕНО")</f>
        <v/>
      </c>
      <c r="W8" s="59">
        <f>IF('Бали кандидатів'!$C$14&gt;=300,"OK","НЕ ДОПУЩЕНО")</f>
        <v/>
      </c>
      <c r="X8" s="52">
        <f>IF(AND(OR(R8="—",'Бали кандидатів'!$B$9&gt;=R8),OR(S8="—",'Бали кандидатів'!$B$10&gt;=S8)),"проходить","НИЖЧЕ мін. балу")</f>
        <v/>
      </c>
      <c r="Y8" s="55">
        <f>IF(AND(OR(R8="—",'Бали кандидатів'!$C$9&gt;=R8),OR(S8="—",'Бали кандидатів'!$C$10&gt;=S8)),"проходить","НИЖЧЕ мін. балу")</f>
        <v/>
      </c>
      <c r="Z8" s="55" t="inlineStr">
        <is>
          <t>Дослідницька пропозиція важить більше або нарівні з іспитом</t>
        </is>
      </c>
      <c r="AA8" s="60" t="inlineStr">
        <is>
          <t>ПРИВАТНИЙ ЗВО. Власний дедлайн подачі — 25.08.2026, іспити 26.08–07.09; далі лише додаткова сесія 23.09–07.10. Навчання платне</t>
        </is>
      </c>
      <c r="AB8" s="60" t="n"/>
      <c r="AC8" s="52" t="n"/>
      <c r="AD8" s="60" t="n"/>
      <c r="AE8" s="52" t="inlineStr">
        <is>
          <t>https://vstup.osvita.ua/r27/249/entrance.html</t>
        </is>
      </c>
      <c r="AF8" s="60" t="inlineStr">
        <is>
          <t>https://vstup.osvita.ua/y2026/r27/249/1649582/</t>
        </is>
      </c>
      <c r="AG8" s="60" t="n"/>
      <c r="AH8" s="60" t="n"/>
      <c r="AI8" s="52" t="n"/>
      <c r="AJ8" s="37" t="inlineStr"/>
      <c r="AK8" s="37" t="inlineStr"/>
      <c r="AL8" s="37" t="inlineStr"/>
      <c r="AM8" s="37">
        <f>IF(AJ8="","дані ще не вивантажені",IF('Бали кандидатів'!$B$7&gt;=AJ8,"проходить","НЕ проходить за ЄВВ"))</f>
        <v/>
      </c>
      <c r="AN8" s="37">
        <f>IF(AJ8="","дані ще не вивантажені",IF('Бали кандидатів'!$C$7&gt;=AJ8,"проходить","НЕ проходить за ЄВВ"))</f>
        <v/>
      </c>
    </row>
    <row r="9" ht="15" customHeight="1" s="38">
      <c r="A9" s="51" t="inlineStr">
        <is>
          <t>F2 Інженерія ПЗ</t>
        </is>
      </c>
      <c r="B9" s="52" t="inlineStr">
        <is>
          <t>Міжнародний університет (Одеса)</t>
        </is>
      </c>
      <c r="C9" s="52" t="inlineStr">
        <is>
          <t>Одеса</t>
        </is>
      </c>
      <c r="D9" s="53" t="inlineStr">
        <is>
          <t>Одеська</t>
        </is>
      </c>
      <c r="E9" s="54" t="inlineStr">
        <is>
          <t>ТАК</t>
        </is>
      </c>
      <c r="F9" s="53" t="inlineStr">
        <is>
          <t>Фіксована</t>
        </is>
      </c>
      <c r="G9" s="55" t="inlineStr">
        <is>
          <t>ні</t>
        </is>
      </c>
      <c r="H9" s="52" t="n"/>
      <c r="I9" s="52" t="inlineStr">
        <is>
          <t>Інженерія програмного забезпечення</t>
        </is>
      </c>
      <c r="J9" s="52" t="inlineStr">
        <is>
          <t>Кібербезпеки, програмної інженерії та комп'ютерних наук</t>
        </is>
      </c>
      <c r="K9" s="52" t="n">
        <v>1</v>
      </c>
      <c r="L9" s="52" t="n">
        <v>1</v>
      </c>
      <c r="M9" s="56">
        <f>IF(K9=0,"н/д",L9/K9)</f>
        <v/>
      </c>
      <c r="N9" s="52" t="inlineStr">
        <is>
          <t>26.08.2026</t>
        </is>
      </c>
      <c r="O9" s="57" t="n">
        <v>0.6</v>
      </c>
      <c r="P9" s="57" t="n">
        <v>0</v>
      </c>
      <c r="Q9" s="57" t="n">
        <v>0</v>
      </c>
      <c r="R9" s="52" t="inlineStr">
        <is>
          <t>—</t>
        </is>
      </c>
      <c r="S9" s="52" t="inlineStr">
        <is>
          <t>—</t>
        </is>
      </c>
      <c r="T9" s="58">
        <f>0.2*'Бали кандидатів'!$B$6+0.2*'Бали кандидатів'!$B$7+O9*'Бали кандидатів'!$B$9+P9*'Бали кандидатів'!$B$10+Q9*'Бали кандидатів'!$B$11</f>
        <v/>
      </c>
      <c r="U9" s="58">
        <f>0.2*'Бали кандидатів'!$C$6+0.2*'Бали кандидатів'!$C$7+O9*'Бали кандидатів'!$C$9+P9*'Бали кандидатів'!$C$10+Q9*'Бали кандидатів'!$C$11</f>
        <v/>
      </c>
      <c r="V9" s="59">
        <f>IF('Бали кандидатів'!$B$14&gt;=300,"OK","НЕ ДОПУЩЕНО")</f>
        <v/>
      </c>
      <c r="W9" s="59">
        <f>IF('Бали кандидатів'!$C$14&gt;=300,"OK","НЕ ДОПУЩЕНО")</f>
        <v/>
      </c>
      <c r="X9" s="52">
        <f>IF(AND(OR(R9="—",'Бали кандидатів'!$B$9&gt;=R9),OR(S9="—",'Бали кандидатів'!$B$10&gt;=S9)),"проходить","НИЖЧЕ мін. балу")</f>
        <v/>
      </c>
      <c r="Y9" s="55">
        <f>IF(AND(OR(R9="—",'Бали кандидатів'!$C$9&gt;=R9),OR(S9="—",'Бали кандидатів'!$C$10&gt;=S9)),"проходить","НИЖЧЕ мін. балу")</f>
        <v/>
      </c>
      <c r="Z9" s="55" t="inlineStr">
        <is>
          <t>Тільки іспит зі спеціальності</t>
        </is>
      </c>
      <c r="AA9" s="60" t="inlineStr">
        <is>
          <t>Додаткова співбесіда для вступників з іншої спеціальності (вага 0)</t>
        </is>
      </c>
      <c r="AB9" s="60" t="n"/>
      <c r="AC9" s="52" t="n"/>
      <c r="AD9" s="60" t="n"/>
      <c r="AE9" s="52" t="inlineStr">
        <is>
          <t>https://vstup.osvita.ua/r16/353/entrance.html</t>
        </is>
      </c>
      <c r="AF9" s="60" t="inlineStr">
        <is>
          <t>https://vstup.osvita.ua/y2026/r16/353/1652604/</t>
        </is>
      </c>
      <c r="AG9" s="60" t="n"/>
      <c r="AH9" s="60" t="n"/>
      <c r="AI9" s="52" t="n"/>
      <c r="AJ9" s="37" t="inlineStr"/>
      <c r="AK9" s="37" t="inlineStr"/>
      <c r="AL9" s="37" t="inlineStr"/>
      <c r="AM9" s="37">
        <f>IF(AJ9="","дані ще не вивантажені",IF('Бали кандидатів'!$B$7&gt;=AJ9,"проходить","НЕ проходить за ЄВВ"))</f>
        <v/>
      </c>
      <c r="AN9" s="37">
        <f>IF(AJ9="","дані ще не вивантажені",IF('Бали кандидатів'!$C$7&gt;=AJ9,"проходить","НЕ проходить за ЄВВ"))</f>
        <v/>
      </c>
    </row>
    <row r="10" ht="15" customHeight="1" s="38">
      <c r="A10" s="51" t="inlineStr">
        <is>
          <t>F4 Системний аналіз</t>
        </is>
      </c>
      <c r="B10" s="52" t="inlineStr">
        <is>
          <t>Харківський національний університет радіоелектроніки (ХНУРЕ)</t>
        </is>
      </c>
      <c r="C10" s="52" t="inlineStr">
        <is>
          <t>Харків</t>
        </is>
      </c>
      <c r="D10" s="53" t="inlineStr">
        <is>
          <t>Харківська</t>
        </is>
      </c>
      <c r="E10" s="54" t="inlineStr">
        <is>
          <t>ТАК</t>
        </is>
      </c>
      <c r="F10" s="53" t="inlineStr">
        <is>
          <t>Фіксована</t>
        </is>
      </c>
      <c r="G10" s="55" t="inlineStr">
        <is>
          <t>ні</t>
        </is>
      </c>
      <c r="H10" s="52" t="n"/>
      <c r="I10" s="52" t="inlineStr">
        <is>
          <t>Системний аналіз</t>
        </is>
      </c>
      <c r="J10" s="52" t="n"/>
      <c r="K10" s="52" t="n">
        <v>20</v>
      </c>
      <c r="L10" s="52" t="n">
        <v>20</v>
      </c>
      <c r="M10" s="56">
        <f>IF(K10=0,"н/д",L10/K10)</f>
        <v/>
      </c>
      <c r="N10" s="52" t="inlineStr">
        <is>
          <t>26.08.2026</t>
        </is>
      </c>
      <c r="O10" s="57" t="n">
        <v>0.6</v>
      </c>
      <c r="P10" s="57" t="n">
        <v>0</v>
      </c>
      <c r="Q10" s="57" t="n">
        <v>0</v>
      </c>
      <c r="R10" s="52" t="n">
        <v>100</v>
      </c>
      <c r="S10" s="52" t="inlineStr">
        <is>
          <t>—</t>
        </is>
      </c>
      <c r="T10" s="58">
        <f>0.2*'Бали кандидатів'!$B$6+0.2*'Бали кандидатів'!$B$7+O10*'Бали кандидатів'!$B$9+P10*'Бали кандидатів'!$B$10+Q10*'Бали кандидатів'!$B$11</f>
        <v/>
      </c>
      <c r="U10" s="58">
        <f>0.2*'Бали кандидатів'!$C$6+0.2*'Бали кандидатів'!$C$7+O10*'Бали кандидатів'!$C$9+P10*'Бали кандидатів'!$C$10+Q10*'Бали кандидатів'!$C$11</f>
        <v/>
      </c>
      <c r="V10" s="59">
        <f>IF('Бали кандидатів'!$B$14&gt;=300,"OK","НЕ ДОПУЩЕНО")</f>
        <v/>
      </c>
      <c r="W10" s="59">
        <f>IF('Бали кандидатів'!$C$14&gt;=300,"OK","НЕ ДОПУЩЕНО")</f>
        <v/>
      </c>
      <c r="X10" s="52">
        <f>IF(AND(OR(R10="—",'Бали кандидатів'!$B$9&gt;=R10),OR(S10="—",'Бали кандидатів'!$B$10&gt;=S10)),"проходить","НИЖЧЕ мін. балу")</f>
        <v/>
      </c>
      <c r="Y10" s="55">
        <f>IF(AND(OR(R10="—",'Бали кандидатів'!$C$9&gt;=R10),OR(S10="—",'Бали кандидатів'!$C$10&gt;=S10)),"проходить","НИЖЧЕ мін. балу")</f>
        <v/>
      </c>
      <c r="Z10" s="55" t="inlineStr">
        <is>
          <t>Тільки іспит зі спеціальності</t>
        </is>
      </c>
      <c r="AA10" s="60" t="inlineStr">
        <is>
          <t>Ваги підтверджено зі сторінки ЗВО: іноземна 0.20, ЄВВ 0.20, іспит зі спец. 0.60, ТЗНК 0.00 — усі з мін. балом 100</t>
        </is>
      </c>
      <c r="AB10" s="60" t="n"/>
      <c r="AC10" s="52" t="n"/>
      <c r="AD10" s="60" t="n"/>
      <c r="AE10" s="52" t="inlineStr">
        <is>
          <t>https://vstup.osvita.ua/r21/92/entrance.html</t>
        </is>
      </c>
      <c r="AF10" s="60" t="inlineStr">
        <is>
          <t>https://vstup.osvita.ua/y2026/r21/92/1653836/</t>
        </is>
      </c>
      <c r="AG10" s="60" t="n"/>
      <c r="AH10" s="60" t="n"/>
      <c r="AI10" s="52" t="n"/>
      <c r="AJ10" s="37" t="inlineStr"/>
      <c r="AK10" s="37" t="inlineStr"/>
      <c r="AL10" s="37" t="inlineStr"/>
      <c r="AM10" s="37">
        <f>IF(AJ10="","дані ще не вивантажені",IF('Бали кандидатів'!$B$7&gt;=AJ10,"проходить","НЕ проходить за ЄВВ"))</f>
        <v/>
      </c>
      <c r="AN10" s="37">
        <f>IF(AJ10="","дані ще не вивантажені",IF('Бали кандидатів'!$C$7&gt;=AJ10,"проходить","НЕ проходить за ЄВВ"))</f>
        <v/>
      </c>
    </row>
    <row r="11" ht="15" customHeight="1" s="38">
      <c r="A11" s="51" t="inlineStr">
        <is>
          <t>F2 Інженерія ПЗ</t>
        </is>
      </c>
      <c r="B11" s="52" t="inlineStr">
        <is>
          <t>НУ «Львівська політехніка»</t>
        </is>
      </c>
      <c r="C11" s="52" t="inlineStr">
        <is>
          <t>Львів</t>
        </is>
      </c>
      <c r="D11" s="53" t="inlineStr">
        <is>
          <t>Львівська</t>
        </is>
      </c>
      <c r="E11" s="54" t="inlineStr">
        <is>
          <t>ТАК</t>
        </is>
      </c>
      <c r="F11" s="53" t="inlineStr">
        <is>
          <t>Фіксована</t>
        </is>
      </c>
      <c r="G11" s="55" t="inlineStr">
        <is>
          <t>ні</t>
        </is>
      </c>
      <c r="H11" s="52" t="n"/>
      <c r="I11" s="52" t="inlineStr">
        <is>
          <t>Інженерія програмного забезпечення</t>
        </is>
      </c>
      <c r="J11" s="52" t="inlineStr">
        <is>
          <t>Інститут комп. наук та інформаційних технологій</t>
        </is>
      </c>
      <c r="K11" s="52" t="n">
        <v>33</v>
      </c>
      <c r="L11" s="52" t="n">
        <v>34</v>
      </c>
      <c r="M11" s="56">
        <f>IF(K11=0,"н/д",L11/K11)</f>
        <v/>
      </c>
      <c r="N11" s="52" t="inlineStr">
        <is>
          <t>26.08.2026</t>
        </is>
      </c>
      <c r="O11" s="57" t="n">
        <v>0.6</v>
      </c>
      <c r="P11" s="57" t="n">
        <v>0</v>
      </c>
      <c r="Q11" s="57" t="n">
        <v>0</v>
      </c>
      <c r="R11" s="52" t="n">
        <v>110</v>
      </c>
      <c r="S11" s="52" t="inlineStr">
        <is>
          <t>—</t>
        </is>
      </c>
      <c r="T11" s="58">
        <f>0.2*'Бали кандидатів'!$B$6+0.2*'Бали кандидатів'!$B$7+O11*'Бали кандидатів'!$B$9+P11*'Бали кандидатів'!$B$10+Q11*'Бали кандидатів'!$B$11</f>
        <v/>
      </c>
      <c r="U11" s="58">
        <f>0.2*'Бали кандидатів'!$C$6+0.2*'Бали кандидатів'!$C$7+O11*'Бали кандидатів'!$C$9+P11*'Бали кандидатів'!$C$10+Q11*'Бали кандидатів'!$C$11</f>
        <v/>
      </c>
      <c r="V11" s="59">
        <f>IF('Бали кандидатів'!$B$14&gt;=300,"OK","НЕ ДОПУЩЕНО")</f>
        <v/>
      </c>
      <c r="W11" s="59">
        <f>IF('Бали кандидатів'!$C$14&gt;=300,"OK","НЕ ДОПУЩЕНО")</f>
        <v/>
      </c>
      <c r="X11" s="52">
        <f>IF(AND(OR(R11="—",'Бали кандидатів'!$B$9&gt;=R11),OR(S11="—",'Бали кандидатів'!$B$10&gt;=S11)),"проходить","НИЖЧЕ мін. балу")</f>
        <v/>
      </c>
      <c r="Y11" s="55">
        <f>IF(AND(OR(R11="—",'Бали кандидатів'!$C$9&gt;=R11),OR(S11="—",'Бали кандидатів'!$C$10&gt;=S11)),"проходить","НИЖЧЕ мін. балу")</f>
        <v/>
      </c>
      <c r="Z11" s="55" t="inlineStr">
        <is>
          <t>Тільки іспит зі спеціальності</t>
        </is>
      </c>
      <c r="AA11" s="54" t="inlineStr">
        <is>
          <t>Іспит того самого дня і години, що й F3: 09.09.2026, 14:30</t>
        </is>
      </c>
      <c r="AB11" s="54" t="inlineStr">
        <is>
          <t>09.09.2026</t>
        </is>
      </c>
      <c r="AC11" s="52" t="inlineStr">
        <is>
          <t>14:30</t>
        </is>
      </c>
      <c r="AD11" s="60" t="inlineStr">
        <is>
          <t>I навчальний корпус, вул. Старосольських 2/4, Львів (ІКНІ)</t>
        </is>
      </c>
      <c r="AE11" s="52" t="inlineStr">
        <is>
          <t>https://vstup.osvita.ua/r14/97/entrance.html</t>
        </is>
      </c>
      <c r="AF11" s="60" t="inlineStr">
        <is>
          <t>https://vstup.osvita.ua/y2026/r14/97/1645690/</t>
        </is>
      </c>
      <c r="AG11" s="60" t="n"/>
      <c r="AH11" s="60" t="n"/>
      <c r="AI11" s="52" t="n"/>
      <c r="AJ11" s="37" t="inlineStr"/>
      <c r="AK11" s="37" t="inlineStr"/>
      <c r="AL11" s="37" t="inlineStr"/>
      <c r="AM11" s="37">
        <f>IF(AJ11="","дані ще не вивантажені",IF('Бали кандидатів'!$B$7&gt;=AJ11,"проходить","НЕ проходить за ЄВВ"))</f>
        <v/>
      </c>
      <c r="AN11" s="37">
        <f>IF(AJ11="","дані ще не вивантажені",IF('Бали кандидатів'!$C$7&gt;=AJ11,"проходить","НЕ проходить за ЄВВ"))</f>
        <v/>
      </c>
    </row>
    <row r="12" ht="26.85" customHeight="1" s="38">
      <c r="A12" s="51" t="inlineStr">
        <is>
          <t>F3 Комп'ютерні науки</t>
        </is>
      </c>
      <c r="B12" s="52" t="inlineStr">
        <is>
          <t>Харківський національний університет ім. В. Н. Каразіна</t>
        </is>
      </c>
      <c r="C12" s="52" t="inlineStr">
        <is>
          <t>Харків</t>
        </is>
      </c>
      <c r="D12" s="53" t="inlineStr">
        <is>
          <t>Харківська</t>
        </is>
      </c>
      <c r="E12" s="54" t="inlineStr">
        <is>
          <t>ТАК</t>
        </is>
      </c>
      <c r="F12" s="53" t="inlineStr">
        <is>
          <t>Фіксована</t>
        </is>
      </c>
      <c r="G12" s="55" t="inlineStr">
        <is>
          <t>ні</t>
        </is>
      </c>
      <c r="H12" s="52" t="n"/>
      <c r="I12" s="52" t="inlineStr">
        <is>
          <t>Комп'ютерні науки</t>
        </is>
      </c>
      <c r="J12" s="52" t="inlineStr">
        <is>
          <t>ННІ комп. наук та штучного інтелекту</t>
        </is>
      </c>
      <c r="K12" s="52" t="n">
        <v>21</v>
      </c>
      <c r="L12" s="61" t="n">
        <v>23</v>
      </c>
      <c r="M12" s="56">
        <f>IF(K12=0,"н/д",L12/K12)</f>
        <v/>
      </c>
      <c r="N12" s="62" t="inlineStr">
        <is>
          <t>25.08.2026 (застаріле)</t>
        </is>
      </c>
      <c r="O12" s="57" t="n">
        <v>0.2</v>
      </c>
      <c r="P12" s="57" t="n">
        <v>0.4</v>
      </c>
      <c r="Q12" s="57" t="n">
        <v>0</v>
      </c>
      <c r="R12" s="52" t="n">
        <v>100</v>
      </c>
      <c r="S12" s="52" t="n">
        <v>100</v>
      </c>
      <c r="T12" s="58">
        <f>0.2*'Бали кандидатів'!$B$6+0.2*'Бали кандидатів'!$B$7+O12*'Бали кандидатів'!$B$9+P12*'Бали кандидатів'!$B$10+Q12*'Бали кандидатів'!$B$11</f>
        <v/>
      </c>
      <c r="U12" s="58">
        <f>0.2*'Бали кандидатів'!$C$6+0.2*'Бали кандидатів'!$C$7+O12*'Бали кандидатів'!$C$9+P12*'Бали кандидатів'!$C$10+Q12*'Бали кандидатів'!$C$11</f>
        <v/>
      </c>
      <c r="V12" s="59">
        <f>IF('Бали кандидатів'!$B$14&gt;=300,"OK","НЕ ДОПУЩЕНО")</f>
        <v/>
      </c>
      <c r="W12" s="59">
        <f>IF('Бали кандидатів'!$C$14&gt;=300,"OK","НЕ ДОПУЩЕНО")</f>
        <v/>
      </c>
      <c r="X12" s="52">
        <f>IF(AND(OR(R12="—",'Бали кандидатів'!$B$9&gt;=R12),OR(S12="—",'Бали кандидатів'!$B$10&gt;=S12)),"проходить","НИЖЧЕ мін. балу")</f>
        <v/>
      </c>
      <c r="Y12" s="55">
        <f>IF(AND(OR(R12="—",'Бали кандидатів'!$C$9&gt;=R12),OR(S12="—",'Бали кандидатів'!$C$10&gt;=S12)),"проходить","НИЖЧЕ мін. балу")</f>
        <v/>
      </c>
      <c r="Z12" s="55" t="inlineStr">
        <is>
          <t>Дослідницька пропозиція важить більше або нарівні з іспитом</t>
        </is>
      </c>
      <c r="AA12" s="60" t="inlineStr">
        <is>
          <t>Плюс додатковий іспит зі спеціальності (вага 0)</t>
        </is>
      </c>
      <c r="AB12" s="60" t="n"/>
      <c r="AC12" s="52" t="n"/>
      <c r="AD12" s="60" t="n"/>
      <c r="AE12" s="52" t="inlineStr">
        <is>
          <t>https://vstup.osvita.ua/r21/62/entrance.html</t>
        </is>
      </c>
      <c r="AF12" s="60" t="inlineStr">
        <is>
          <t>https://vstup.osvita.ua/y2026/r21/62/1652201/</t>
        </is>
      </c>
      <c r="AG12" s="60" t="n"/>
      <c r="AH12" s="60" t="n"/>
      <c r="AI12" s="52" t="n"/>
      <c r="AJ12" s="37" t="inlineStr"/>
      <c r="AK12" s="37" t="inlineStr"/>
      <c r="AL12" s="37" t="inlineStr"/>
      <c r="AM12" s="37">
        <f>IF(AJ12="","дані ще не вивантажені",IF('Бали кандидатів'!$B$7&gt;=AJ12,"проходить","НЕ проходить за ЄВВ"))</f>
        <v/>
      </c>
      <c r="AN12" s="37">
        <f>IF(AJ12="","дані ще не вивантажені",IF('Бали кандидатів'!$C$7&gt;=AJ12,"проходить","НЕ проходить за ЄВВ"))</f>
        <v/>
      </c>
    </row>
    <row r="13" ht="15" customHeight="1" s="38">
      <c r="A13" s="51" t="inlineStr">
        <is>
          <t>F2 Інженерія ПЗ</t>
        </is>
      </c>
      <c r="B13" s="52" t="inlineStr">
        <is>
          <t>Західноукраїнський національний університет</t>
        </is>
      </c>
      <c r="C13" s="52" t="inlineStr">
        <is>
          <t>Тернопіль</t>
        </is>
      </c>
      <c r="D13" s="53" t="inlineStr">
        <is>
          <t>Тернопільська</t>
        </is>
      </c>
      <c r="E13" s="54" t="inlineStr">
        <is>
          <t>ТАК</t>
        </is>
      </c>
      <c r="F13" s="53" t="inlineStr">
        <is>
          <t>Фіксована</t>
        </is>
      </c>
      <c r="G13" s="55" t="inlineStr">
        <is>
          <t>ні</t>
        </is>
      </c>
      <c r="H13" s="52" t="n"/>
      <c r="I13" s="52" t="inlineStr">
        <is>
          <t>Інженерія програмного забезпечення</t>
        </is>
      </c>
      <c r="J13" s="52" t="inlineStr">
        <is>
          <t>Комп'ютерних інформаційних технологій</t>
        </is>
      </c>
      <c r="K13" s="52" t="n">
        <v>16</v>
      </c>
      <c r="L13" s="52" t="n">
        <v>18</v>
      </c>
      <c r="M13" s="56">
        <f>IF(K13=0,"н/д",L13/K13)</f>
        <v/>
      </c>
      <c r="N13" s="52" t="inlineStr">
        <is>
          <t>26.08.2026</t>
        </is>
      </c>
      <c r="O13" s="57" t="n">
        <v>0.6</v>
      </c>
      <c r="P13" s="57" t="n">
        <v>0</v>
      </c>
      <c r="Q13" s="57" t="n">
        <v>0</v>
      </c>
      <c r="R13" s="52" t="inlineStr">
        <is>
          <t>—</t>
        </is>
      </c>
      <c r="S13" s="52" t="inlineStr">
        <is>
          <t>—</t>
        </is>
      </c>
      <c r="T13" s="58">
        <f>0.2*'Бали кандидатів'!$B$6+0.2*'Бали кандидатів'!$B$7+O13*'Бали кандидатів'!$B$9+P13*'Бали кандидатів'!$B$10+Q13*'Бали кандидатів'!$B$11</f>
        <v/>
      </c>
      <c r="U13" s="58">
        <f>0.2*'Бали кандидатів'!$C$6+0.2*'Бали кандидатів'!$C$7+O13*'Бали кандидатів'!$C$9+P13*'Бали кандидатів'!$C$10+Q13*'Бали кандидатів'!$C$11</f>
        <v/>
      </c>
      <c r="V13" s="59">
        <f>IF('Бали кандидатів'!$B$14&gt;=300,"OK","НЕ ДОПУЩЕНО")</f>
        <v/>
      </c>
      <c r="W13" s="59">
        <f>IF('Бали кандидатів'!$C$14&gt;=300,"OK","НЕ ДОПУЩЕНО")</f>
        <v/>
      </c>
      <c r="X13" s="52">
        <f>IF(AND(OR(R13="—",'Бали кандидатів'!$B$9&gt;=R13),OR(S13="—",'Бали кандидатів'!$B$10&gt;=S13)),"проходить","НИЖЧЕ мін. балу")</f>
        <v/>
      </c>
      <c r="Y13" s="55">
        <f>IF(AND(OR(R13="—",'Бали кандидатів'!$C$9&gt;=R13),OR(S13="—",'Бали кандидатів'!$C$10&gt;=S13)),"проходить","НИЖЧЕ мін. балу")</f>
        <v/>
      </c>
      <c r="Z13" s="55" t="inlineStr">
        <is>
          <t>Тільки іспит зі спеціальності</t>
        </is>
      </c>
      <c r="AA13" s="60" t="inlineStr">
        <is>
          <t>Додаткова співбесіда для вступників з іншої спеціальності (вага 0)</t>
        </is>
      </c>
      <c r="AB13" s="60" t="n"/>
      <c r="AC13" s="52" t="n"/>
      <c r="AD13" s="60" t="n"/>
      <c r="AE13" s="52" t="inlineStr">
        <is>
          <t>https://vstup.osvita.ua/r20/171/entrance.html</t>
        </is>
      </c>
      <c r="AF13" s="60" t="inlineStr">
        <is>
          <t>https://vstup.osvita.ua/y2026/r20/171/1652653/</t>
        </is>
      </c>
      <c r="AG13" s="60" t="n"/>
      <c r="AH13" s="60" t="n"/>
      <c r="AI13" s="52" t="n"/>
      <c r="AJ13" s="37" t="inlineStr"/>
      <c r="AK13" s="37" t="inlineStr"/>
      <c r="AL13" s="37" t="inlineStr"/>
      <c r="AM13" s="37">
        <f>IF(AJ13="","дані ще не вивантажені",IF('Бали кандидатів'!$B$7&gt;=AJ13,"проходить","НЕ проходить за ЄВВ"))</f>
        <v/>
      </c>
      <c r="AN13" s="37">
        <f>IF(AJ13="","дані ще не вивантажені",IF('Бали кандидатів'!$C$7&gt;=AJ13,"проходить","НЕ проходить за ЄВВ"))</f>
        <v/>
      </c>
    </row>
    <row r="14" ht="15" customHeight="1" s="38">
      <c r="A14" s="51" t="inlineStr">
        <is>
          <t>F3 Комп'ютерні науки</t>
        </is>
      </c>
      <c r="B14" s="52" t="inlineStr">
        <is>
          <t>Український державний університет науки і технологій</t>
        </is>
      </c>
      <c r="C14" s="52" t="inlineStr">
        <is>
          <t>Дніпро</t>
        </is>
      </c>
      <c r="D14" s="53" t="inlineStr">
        <is>
          <t>Дніпропетровська</t>
        </is>
      </c>
      <c r="E14" s="54" t="inlineStr">
        <is>
          <t>ТАК</t>
        </is>
      </c>
      <c r="F14" s="53" t="inlineStr">
        <is>
          <t>Фіксована</t>
        </is>
      </c>
      <c r="G14" s="55" t="inlineStr">
        <is>
          <t>ні</t>
        </is>
      </c>
      <c r="H14" s="52" t="n"/>
      <c r="I14" s="52" t="inlineStr">
        <is>
          <t>Комп'ютерні науки і технології</t>
        </is>
      </c>
      <c r="J14" s="52" t="inlineStr">
        <is>
          <t>Інформаційних технологій та механічної інженерії</t>
        </is>
      </c>
      <c r="K14" s="52" t="n">
        <v>6</v>
      </c>
      <c r="L14" s="61" t="n">
        <v>7</v>
      </c>
      <c r="M14" s="56">
        <f>IF(K14=0,"н/д",L14/K14)</f>
        <v/>
      </c>
      <c r="N14" s="62" t="inlineStr">
        <is>
          <t>25.08.2026 (застаріле)</t>
        </is>
      </c>
      <c r="O14" s="57" t="n">
        <v>0.6</v>
      </c>
      <c r="P14" s="57" t="n">
        <v>0</v>
      </c>
      <c r="Q14" s="57" t="n">
        <v>0</v>
      </c>
      <c r="R14" s="52" t="inlineStr">
        <is>
          <t>—</t>
        </is>
      </c>
      <c r="S14" s="52" t="inlineStr">
        <is>
          <t>—</t>
        </is>
      </c>
      <c r="T14" s="58">
        <f>0.2*'Бали кандидатів'!$B$6+0.2*'Бали кандидатів'!$B$7+O14*'Бали кандидатів'!$B$9+P14*'Бали кандидатів'!$B$10+Q14*'Бали кандидатів'!$B$11</f>
        <v/>
      </c>
      <c r="U14" s="58">
        <f>0.2*'Бали кандидатів'!$C$6+0.2*'Бали кандидатів'!$C$7+O14*'Бали кандидатів'!$C$9+P14*'Бали кандидатів'!$C$10+Q14*'Бали кандидатів'!$C$11</f>
        <v/>
      </c>
      <c r="V14" s="59">
        <f>IF('Бали кандидатів'!$B$14&gt;=300,"OK","НЕ ДОПУЩЕНО")</f>
        <v/>
      </c>
      <c r="W14" s="59">
        <f>IF('Бали кандидатів'!$C$14&gt;=300,"OK","НЕ ДОПУЩЕНО")</f>
        <v/>
      </c>
      <c r="X14" s="52">
        <f>IF(AND(OR(R14="—",'Бали кандидатів'!$B$9&gt;=R14),OR(S14="—",'Бали кандидатів'!$B$10&gt;=S14)),"проходить","НИЖЧЕ мін. балу")</f>
        <v/>
      </c>
      <c r="Y14" s="55">
        <f>IF(AND(OR(R14="—",'Бали кандидатів'!$C$9&gt;=R14),OR(S14="—",'Бали кандидатів'!$C$10&gt;=S14)),"проходить","НИЖЧЕ мін. балу")</f>
        <v/>
      </c>
      <c r="Z14" s="55" t="inlineStr">
        <is>
          <t>Тільки іспит зі спеціальності</t>
        </is>
      </c>
      <c r="AA14" s="60" t="n"/>
      <c r="AB14" s="60" t="n"/>
      <c r="AC14" s="52" t="n"/>
      <c r="AD14" s="60" t="n"/>
      <c r="AE14" s="52" t="inlineStr">
        <is>
          <t>https://vstup.osvita.ua/r5/6507/entrance.html</t>
        </is>
      </c>
      <c r="AF14" s="60" t="inlineStr">
        <is>
          <t>https://vstup.osvita.ua/y2026/r5/6507/1673562/</t>
        </is>
      </c>
      <c r="AG14" s="60" t="n"/>
      <c r="AH14" s="60" t="n"/>
      <c r="AI14" s="52" t="n"/>
      <c r="AJ14" s="37" t="inlineStr"/>
      <c r="AK14" s="37" t="inlineStr"/>
      <c r="AL14" s="37" t="inlineStr"/>
      <c r="AM14" s="37">
        <f>IF(AJ14="","дані ще не вивантажені",IF('Бали кандидатів'!$B$7&gt;=AJ14,"проходить","НЕ проходить за ЄВВ"))</f>
        <v/>
      </c>
      <c r="AN14" s="37">
        <f>IF(AJ14="","дані ще не вивантажені",IF('Бали кандидатів'!$C$7&gt;=AJ14,"проходить","НЕ проходить за ЄВВ"))</f>
        <v/>
      </c>
    </row>
    <row r="15" ht="15" customHeight="1" s="38">
      <c r="A15" s="51" t="inlineStr">
        <is>
          <t>F3 Комп'ютерні науки</t>
        </is>
      </c>
      <c r="B15" s="52" t="inlineStr">
        <is>
          <t>Черкаський національний університет ім. Б. Хмельницького</t>
        </is>
      </c>
      <c r="C15" s="52" t="inlineStr">
        <is>
          <t>Черкаси</t>
        </is>
      </c>
      <c r="D15" s="53" t="inlineStr">
        <is>
          <t>Черкаська</t>
        </is>
      </c>
      <c r="E15" s="54" t="inlineStr">
        <is>
          <t>ТАК</t>
        </is>
      </c>
      <c r="F15" s="53" t="inlineStr">
        <is>
          <t>Фіксована</t>
        </is>
      </c>
      <c r="G15" s="55" t="inlineStr">
        <is>
          <t>ні</t>
        </is>
      </c>
      <c r="H15" s="52" t="n"/>
      <c r="I15" s="52" t="inlineStr">
        <is>
          <t>Комп'ютерні науки</t>
        </is>
      </c>
      <c r="J15" s="52" t="inlineStr">
        <is>
          <t>Обчислювальної техніки, інтел. та управляючих систем</t>
        </is>
      </c>
      <c r="K15" s="52" t="n">
        <v>5</v>
      </c>
      <c r="L15" s="52" t="n">
        <v>6</v>
      </c>
      <c r="M15" s="56">
        <f>IF(K15=0,"н/д",L15/K15)</f>
        <v/>
      </c>
      <c r="N15" s="52" t="inlineStr">
        <is>
          <t>26.08.2026</t>
        </is>
      </c>
      <c r="O15" s="57" t="n">
        <v>0.6</v>
      </c>
      <c r="P15" s="57" t="n">
        <v>0</v>
      </c>
      <c r="Q15" s="57" t="n">
        <v>0</v>
      </c>
      <c r="R15" s="52" t="inlineStr">
        <is>
          <t>—</t>
        </is>
      </c>
      <c r="S15" s="52" t="inlineStr">
        <is>
          <t>—</t>
        </is>
      </c>
      <c r="T15" s="58">
        <f>0.2*'Бали кандидатів'!$B$6+0.2*'Бали кандидатів'!$B$7+O15*'Бали кандидатів'!$B$9+P15*'Бали кандидатів'!$B$10+Q15*'Бали кандидатів'!$B$11</f>
        <v/>
      </c>
      <c r="U15" s="58">
        <f>0.2*'Бали кандидатів'!$C$6+0.2*'Бали кандидатів'!$C$7+O15*'Бали кандидатів'!$C$9+P15*'Бали кандидатів'!$C$10+Q15*'Бали кандидатів'!$C$11</f>
        <v/>
      </c>
      <c r="V15" s="59">
        <f>IF('Бали кандидатів'!$B$14&gt;=300,"OK","НЕ ДОПУЩЕНО")</f>
        <v/>
      </c>
      <c r="W15" s="59">
        <f>IF('Бали кандидатів'!$C$14&gt;=300,"OK","НЕ ДОПУЩЕНО")</f>
        <v/>
      </c>
      <c r="X15" s="52">
        <f>IF(AND(OR(R15="—",'Бали кандидатів'!$B$9&gt;=R15),OR(S15="—",'Бали кандидатів'!$B$10&gt;=S15)),"проходить","НИЖЧЕ мін. балу")</f>
        <v/>
      </c>
      <c r="Y15" s="55">
        <f>IF(AND(OR(R15="—",'Бали кандидатів'!$C$9&gt;=R15),OR(S15="—",'Бали кандидатів'!$C$10&gt;=S15)),"проходить","НИЖЧЕ мін. балу")</f>
        <v/>
      </c>
      <c r="Z15" s="55" t="inlineStr">
        <is>
          <t>Тільки іспит зі спеціальності</t>
        </is>
      </c>
      <c r="AA15" s="60" t="inlineStr">
        <is>
          <t>Додаткова співбесіда для вступників з іншої спеціальності (вага 0)</t>
        </is>
      </c>
      <c r="AB15" s="60" t="n"/>
      <c r="AC15" s="52" t="n"/>
      <c r="AD15" s="60" t="n"/>
      <c r="AE15" s="52" t="inlineStr">
        <is>
          <t>https://vstup.osvita.ua/r24/101/entrance.html</t>
        </is>
      </c>
      <c r="AF15" s="60" t="inlineStr">
        <is>
          <t>https://vstup.osvita.ua/y2026/r24/101/1653528/</t>
        </is>
      </c>
      <c r="AG15" s="60" t="n"/>
      <c r="AH15" s="60" t="n"/>
      <c r="AI15" s="52" t="n"/>
      <c r="AJ15" s="37" t="inlineStr"/>
      <c r="AK15" s="37" t="inlineStr"/>
      <c r="AL15" s="37" t="inlineStr"/>
      <c r="AM15" s="37">
        <f>IF(AJ15="","дані ще не вивантажені",IF('Бали кандидатів'!$B$7&gt;=AJ15,"проходить","НЕ проходить за ЄВВ"))</f>
        <v/>
      </c>
      <c r="AN15" s="37">
        <f>IF(AJ15="","дані ще не вивантажені",IF('Бали кандидатів'!$C$7&gt;=AJ15,"проходить","НЕ проходить за ЄВВ"))</f>
        <v/>
      </c>
    </row>
    <row r="16" ht="15" customHeight="1" s="38">
      <c r="A16" s="51" t="inlineStr">
        <is>
          <t>F3 Комп'ютерні науки</t>
        </is>
      </c>
      <c r="B16" s="52" t="inlineStr">
        <is>
          <t>Одеський національний морський університет</t>
        </is>
      </c>
      <c r="C16" s="52" t="inlineStr">
        <is>
          <t>Одеса</t>
        </is>
      </c>
      <c r="D16" s="53" t="inlineStr">
        <is>
          <t>Одеська</t>
        </is>
      </c>
      <c r="E16" s="54" t="inlineStr">
        <is>
          <t>ТАК</t>
        </is>
      </c>
      <c r="F16" s="53" t="inlineStr">
        <is>
          <t>Фіксована</t>
        </is>
      </c>
      <c r="G16" s="55" t="inlineStr">
        <is>
          <t>ні</t>
        </is>
      </c>
      <c r="H16" s="52" t="n"/>
      <c r="I16" s="52" t="inlineStr">
        <is>
          <t>Комп'ютерні науки</t>
        </is>
      </c>
      <c r="J16" s="52" t="inlineStr">
        <is>
          <t>Аспірантура</t>
        </is>
      </c>
      <c r="K16" s="52" t="n">
        <v>5</v>
      </c>
      <c r="L16" s="52" t="n">
        <v>6</v>
      </c>
      <c r="M16" s="56">
        <f>IF(K16=0,"н/д",L16/K16)</f>
        <v/>
      </c>
      <c r="N16" s="52" t="inlineStr">
        <is>
          <t>26.08.2026</t>
        </is>
      </c>
      <c r="O16" s="57" t="n">
        <v>0.6</v>
      </c>
      <c r="P16" s="57" t="n">
        <v>0</v>
      </c>
      <c r="Q16" s="57" t="n">
        <v>0</v>
      </c>
      <c r="R16" s="52" t="n">
        <v>100</v>
      </c>
      <c r="S16" s="52" t="inlineStr">
        <is>
          <t>—</t>
        </is>
      </c>
      <c r="T16" s="58">
        <f>0.2*'Бали кандидатів'!$B$6+0.2*'Бали кандидатів'!$B$7+O16*'Бали кандидатів'!$B$9+P16*'Бали кандидатів'!$B$10+Q16*'Бали кандидатів'!$B$11</f>
        <v/>
      </c>
      <c r="U16" s="58">
        <f>0.2*'Бали кандидатів'!$C$6+0.2*'Бали кандидатів'!$C$7+O16*'Бали кандидатів'!$C$9+P16*'Бали кандидатів'!$C$10+Q16*'Бали кандидатів'!$C$11</f>
        <v/>
      </c>
      <c r="V16" s="59">
        <f>IF('Бали кандидатів'!$B$14&gt;=300,"OK","НЕ ДОПУЩЕНО")</f>
        <v/>
      </c>
      <c r="W16" s="59">
        <f>IF('Бали кандидатів'!$C$14&gt;=300,"OK","НЕ ДОПУЩЕНО")</f>
        <v/>
      </c>
      <c r="X16" s="52">
        <f>IF(AND(OR(R16="—",'Бали кандидатів'!$B$9&gt;=R16),OR(S16="—",'Бали кандидатів'!$B$10&gt;=S16)),"проходить","НИЖЧЕ мін. балу")</f>
        <v/>
      </c>
      <c r="Y16" s="55">
        <f>IF(AND(OR(R16="—",'Бали кандидатів'!$C$9&gt;=R16),OR(S16="—",'Бали кандидатів'!$C$10&gt;=S16)),"проходить","НИЖЧЕ мін. балу")</f>
        <v/>
      </c>
      <c r="Z16" s="55" t="inlineStr">
        <is>
          <t>Тільки іспит зі спеціальності</t>
        </is>
      </c>
      <c r="AA16" s="60" t="n"/>
      <c r="AB16" s="60" t="n"/>
      <c r="AC16" s="52" t="n"/>
      <c r="AD16" s="60" t="n"/>
      <c r="AE16" s="52" t="inlineStr">
        <is>
          <t>https://vstup.osvita.ua/r16/220/entrance.html</t>
        </is>
      </c>
      <c r="AF16" s="60" t="inlineStr">
        <is>
          <t>https://vstup.osvita.ua/y2026/r16/220/1647741/</t>
        </is>
      </c>
      <c r="AG16" s="60" t="n"/>
      <c r="AH16" s="60" t="n"/>
      <c r="AI16" s="52" t="n"/>
      <c r="AJ16" s="37" t="inlineStr"/>
      <c r="AK16" s="37" t="inlineStr"/>
      <c r="AL16" s="37" t="inlineStr"/>
      <c r="AM16" s="37">
        <f>IF(AJ16="","дані ще не вивантажені",IF('Бали кандидатів'!$B$7&gt;=AJ16,"проходить","НЕ проходить за ЄВВ"))</f>
        <v/>
      </c>
      <c r="AN16" s="37">
        <f>IF(AJ16="","дані ще не вивантажені",IF('Бали кандидатів'!$C$7&gt;=AJ16,"проходить","НЕ проходить за ЄВВ"))</f>
        <v/>
      </c>
    </row>
    <row r="17" ht="15" customHeight="1" s="38">
      <c r="A17" s="51" t="inlineStr">
        <is>
          <t>F2 Інженерія ПЗ</t>
        </is>
      </c>
      <c r="B17" s="52" t="inlineStr">
        <is>
          <t>Черкаський національний університет ім. Б. Хмельницького</t>
        </is>
      </c>
      <c r="C17" s="52" t="inlineStr">
        <is>
          <t>Черкаси</t>
        </is>
      </c>
      <c r="D17" s="53" t="inlineStr">
        <is>
          <t>Черкаська</t>
        </is>
      </c>
      <c r="E17" s="54" t="inlineStr">
        <is>
          <t>ТАК</t>
        </is>
      </c>
      <c r="F17" s="53" t="inlineStr">
        <is>
          <t>Фіксована</t>
        </is>
      </c>
      <c r="G17" s="55" t="inlineStr">
        <is>
          <t>ні</t>
        </is>
      </c>
      <c r="H17" s="52" t="n"/>
      <c r="I17" s="52" t="inlineStr">
        <is>
          <t>Інженерія програмного забезпечення</t>
        </is>
      </c>
      <c r="J17" s="52" t="inlineStr">
        <is>
          <t>Обчислювальної техніки, інтел. та управляючих систем</t>
        </is>
      </c>
      <c r="K17" s="52" t="n">
        <v>5</v>
      </c>
      <c r="L17" s="52" t="n">
        <v>6</v>
      </c>
      <c r="M17" s="56">
        <f>IF(K17=0,"н/д",L17/K17)</f>
        <v/>
      </c>
      <c r="N17" s="52" t="inlineStr">
        <is>
          <t>26.08.2026</t>
        </is>
      </c>
      <c r="O17" s="57" t="n">
        <v>0.6</v>
      </c>
      <c r="P17" s="57" t="n">
        <v>0</v>
      </c>
      <c r="Q17" s="57" t="n">
        <v>0</v>
      </c>
      <c r="R17" s="52" t="inlineStr">
        <is>
          <t>—</t>
        </is>
      </c>
      <c r="S17" s="52" t="inlineStr">
        <is>
          <t>—</t>
        </is>
      </c>
      <c r="T17" s="58">
        <f>0.2*'Бали кандидатів'!$B$6+0.2*'Бали кандидатів'!$B$7+O17*'Бали кандидатів'!$B$9+P17*'Бали кандидатів'!$B$10+Q17*'Бали кандидатів'!$B$11</f>
        <v/>
      </c>
      <c r="U17" s="58">
        <f>0.2*'Бали кандидатів'!$C$6+0.2*'Бали кандидатів'!$C$7+O17*'Бали кандидатів'!$C$9+P17*'Бали кандидатів'!$C$10+Q17*'Бали кандидатів'!$C$11</f>
        <v/>
      </c>
      <c r="V17" s="59">
        <f>IF('Бали кандидатів'!$B$14&gt;=300,"OK","НЕ ДОПУЩЕНО")</f>
        <v/>
      </c>
      <c r="W17" s="59">
        <f>IF('Бали кандидатів'!$C$14&gt;=300,"OK","НЕ ДОПУЩЕНО")</f>
        <v/>
      </c>
      <c r="X17" s="52">
        <f>IF(AND(OR(R17="—",'Бали кандидатів'!$B$9&gt;=R17),OR(S17="—",'Бали кандидатів'!$B$10&gt;=S17)),"проходить","НИЖЧЕ мін. балу")</f>
        <v/>
      </c>
      <c r="Y17" s="55">
        <f>IF(AND(OR(R17="—",'Бали кандидатів'!$C$9&gt;=R17),OR(S17="—",'Бали кандидатів'!$C$10&gt;=S17)),"проходить","НИЖЧЕ мін. балу")</f>
        <v/>
      </c>
      <c r="Z17" s="55" t="inlineStr">
        <is>
          <t>Тільки іспит зі спеціальності</t>
        </is>
      </c>
      <c r="AA17" s="60" t="inlineStr">
        <is>
          <t>Додаткова співбесіда для вступників з іншої спеціальності (вага 0)</t>
        </is>
      </c>
      <c r="AB17" s="60" t="n"/>
      <c r="AC17" s="52" t="n"/>
      <c r="AD17" s="60" t="n"/>
      <c r="AE17" s="52" t="inlineStr">
        <is>
          <t>https://vstup.osvita.ua/r24/101/entrance.html</t>
        </is>
      </c>
      <c r="AF17" s="60" t="inlineStr">
        <is>
          <t>https://vstup.osvita.ua/y2026/r24/101/1653544/</t>
        </is>
      </c>
      <c r="AG17" s="60" t="n"/>
      <c r="AH17" s="60" t="n"/>
      <c r="AI17" s="52" t="n"/>
      <c r="AJ17" s="37" t="inlineStr"/>
      <c r="AK17" s="37" t="inlineStr"/>
      <c r="AL17" s="37" t="inlineStr"/>
      <c r="AM17" s="37">
        <f>IF(AJ17="","дані ще не вивантажені",IF('Бали кандидатів'!$B$7&gt;=AJ17,"проходить","НЕ проходить за ЄВВ"))</f>
        <v/>
      </c>
      <c r="AN17" s="37">
        <f>IF(AJ17="","дані ще не вивантажені",IF('Бали кандидатів'!$C$7&gt;=AJ17,"проходить","НЕ проходить за ЄВВ"))</f>
        <v/>
      </c>
    </row>
    <row r="18" ht="15" customHeight="1" s="38">
      <c r="A18" s="51" t="inlineStr">
        <is>
          <t>F3 Комп'ютерні науки</t>
        </is>
      </c>
      <c r="B18" s="63" t="inlineStr">
        <is>
          <t>Херсонський національний технічний університет</t>
        </is>
      </c>
      <c r="C18" s="52" t="inlineStr">
        <is>
          <t>Херсон</t>
        </is>
      </c>
      <c r="D18" s="53" t="inlineStr">
        <is>
          <t>Херсонська</t>
        </is>
      </c>
      <c r="E18" s="54" t="inlineStr">
        <is>
          <t>ТАК</t>
        </is>
      </c>
      <c r="F18" s="53" t="inlineStr">
        <is>
          <t>Фіксована</t>
        </is>
      </c>
      <c r="G18" s="65" t="inlineStr">
        <is>
          <t>ТАК</t>
        </is>
      </c>
      <c r="H18" s="62" t="inlineStr">
        <is>
          <t>ПЕРЕМІЩЕНИЙ (2022). УВАГА: у ЄДЕБО регіон Херсонська обл., але за іншими джерелами фактично працює у Хмельницькому — уточнити у ЗВО</t>
        </is>
      </c>
      <c r="I18" s="52" t="inlineStr">
        <is>
          <t>Комп'ютерні науки</t>
        </is>
      </c>
      <c r="J18" s="52" t="inlineStr">
        <is>
          <t>Інформаційних технологій та дизайну</t>
        </is>
      </c>
      <c r="K18" s="52" t="n">
        <v>14</v>
      </c>
      <c r="L18" s="61" t="n">
        <v>17</v>
      </c>
      <c r="M18" s="56">
        <f>IF(K18=0,"н/д",L18/K18)</f>
        <v/>
      </c>
      <c r="N18" s="62" t="inlineStr">
        <is>
          <t>25.08.2026 (застаріле)</t>
        </is>
      </c>
      <c r="O18" s="57" t="n">
        <v>0.4</v>
      </c>
      <c r="P18" s="57" t="n">
        <v>0.2</v>
      </c>
      <c r="Q18" s="57" t="n">
        <v>0</v>
      </c>
      <c r="R18" s="52" t="inlineStr">
        <is>
          <t>—</t>
        </is>
      </c>
      <c r="S18" s="52" t="n">
        <v>100</v>
      </c>
      <c r="T18" s="58">
        <f>0.2*'Бали кандидатів'!$B$6+0.2*'Бали кандидатів'!$B$7+O18*'Бали кандидатів'!$B$9+P18*'Бали кандидатів'!$B$10+Q18*'Бали кандидатів'!$B$11</f>
        <v/>
      </c>
      <c r="U18" s="58">
        <f>0.2*'Бали кандидатів'!$C$6+0.2*'Бали кандидатів'!$C$7+O18*'Бали кандидатів'!$C$9+P18*'Бали кандидатів'!$C$10+Q18*'Бали кандидатів'!$C$11</f>
        <v/>
      </c>
      <c r="V18" s="59">
        <f>IF('Бали кандидатів'!$B$14&gt;=300,"OK","НЕ ДОПУЩЕНО")</f>
        <v/>
      </c>
      <c r="W18" s="59">
        <f>IF('Бали кандидатів'!$C$14&gt;=300,"OK","НЕ ДОПУЩЕНО")</f>
        <v/>
      </c>
      <c r="X18" s="52">
        <f>IF(AND(OR(R18="—",'Бали кандидатів'!$B$9&gt;=R18),OR(S18="—",'Бали кандидатів'!$B$10&gt;=S18)),"проходить","НИЖЧЕ мін. балу")</f>
        <v/>
      </c>
      <c r="Y18" s="55">
        <f>IF(AND(OR(R18="—",'Бали кандидатів'!$C$9&gt;=R18),OR(S18="—",'Бали кандидатів'!$C$10&gt;=S18)),"проходить","НИЖЧЕ мін. балу")</f>
        <v/>
      </c>
      <c r="Z18" s="55" t="inlineStr">
        <is>
          <t>Іспит + дослідницька пропозиція</t>
        </is>
      </c>
      <c r="AA18" s="60" t="inlineStr">
        <is>
          <t>Плюс додаткова співбесіда зі спеціальності (вага 0)</t>
        </is>
      </c>
      <c r="AB18" s="60" t="n"/>
      <c r="AC18" s="52" t="n"/>
      <c r="AD18" s="60" t="n"/>
      <c r="AE18" s="52" t="inlineStr">
        <is>
          <t>https://vstup.osvita.ua/r22/86/entrance.html</t>
        </is>
      </c>
      <c r="AF18" s="60" t="inlineStr">
        <is>
          <t>https://vstup.osvita.ua/y2026/r22/86/1648125/</t>
        </is>
      </c>
      <c r="AG18" s="60" t="n"/>
      <c r="AH18" s="60" t="n"/>
      <c r="AI18" s="52" t="n"/>
      <c r="AJ18" s="37" t="inlineStr"/>
      <c r="AK18" s="37" t="inlineStr"/>
      <c r="AL18" s="37" t="inlineStr"/>
      <c r="AM18" s="37">
        <f>IF(AJ18="","дані ще не вивантажені",IF('Бали кандидатів'!$B$7&gt;=AJ18,"проходить","НЕ проходить за ЄВВ"))</f>
        <v/>
      </c>
      <c r="AN18" s="37">
        <f>IF(AJ18="","дані ще не вивантажені",IF('Бали кандидатів'!$C$7&gt;=AJ18,"проходить","НЕ проходить за ЄВВ"))</f>
        <v/>
      </c>
    </row>
    <row r="19" ht="15" customHeight="1" s="38">
      <c r="A19" s="51" t="inlineStr">
        <is>
          <t>F3 Комп'ютерні науки</t>
        </is>
      </c>
      <c r="B19" s="52" t="inlineStr">
        <is>
          <t>Інститут проблем математичних машин і систем НАНУ</t>
        </is>
      </c>
      <c r="C19" s="52" t="inlineStr">
        <is>
          <t>Київ</t>
        </is>
      </c>
      <c r="D19" s="53" t="inlineStr">
        <is>
          <t>Київ</t>
        </is>
      </c>
      <c r="E19" s="54" t="inlineStr">
        <is>
          <t>ТАК</t>
        </is>
      </c>
      <c r="F19" s="53" t="inlineStr">
        <is>
          <t>Фіксована</t>
        </is>
      </c>
      <c r="G19" s="55" t="inlineStr">
        <is>
          <t>ні</t>
        </is>
      </c>
      <c r="H19" s="52" t="n"/>
      <c r="I19" s="52" t="inlineStr">
        <is>
          <t>Комп'ютерні науки</t>
        </is>
      </c>
      <c r="J19" s="52" t="n"/>
      <c r="K19" s="52" t="n">
        <v>6</v>
      </c>
      <c r="L19" s="61" t="n">
        <v>8</v>
      </c>
      <c r="M19" s="56">
        <f>IF(K19=0,"н/д",L19/K19)</f>
        <v/>
      </c>
      <c r="N19" s="62" t="inlineStr">
        <is>
          <t>25.08.2026 (застаріле)</t>
        </is>
      </c>
      <c r="O19" s="57" t="n">
        <v>0.6</v>
      </c>
      <c r="P19" s="57" t="n">
        <v>0</v>
      </c>
      <c r="Q19" s="57" t="n">
        <v>0</v>
      </c>
      <c r="R19" s="52" t="inlineStr">
        <is>
          <t>—</t>
        </is>
      </c>
      <c r="S19" s="52" t="inlineStr">
        <is>
          <t>—</t>
        </is>
      </c>
      <c r="T19" s="58">
        <f>0.2*'Бали кандидатів'!$B$6+0.2*'Бали кандидатів'!$B$7+O19*'Бали кандидатів'!$B$9+P19*'Бали кандидатів'!$B$10+Q19*'Бали кандидатів'!$B$11</f>
        <v/>
      </c>
      <c r="U19" s="58">
        <f>0.2*'Бали кандидатів'!$C$6+0.2*'Бали кандидатів'!$C$7+O19*'Бали кандидатів'!$C$9+P19*'Бали кандидатів'!$C$10+Q19*'Бали кандидатів'!$C$11</f>
        <v/>
      </c>
      <c r="V19" s="59">
        <f>IF('Бали кандидатів'!$B$14&gt;=300,"OK","НЕ ДОПУЩЕНО")</f>
        <v/>
      </c>
      <c r="W19" s="59">
        <f>IF('Бали кандидатів'!$C$14&gt;=300,"OK","НЕ ДОПУЩЕНО")</f>
        <v/>
      </c>
      <c r="X19" s="52">
        <f>IF(AND(OR(R19="—",'Бали кандидатів'!$B$9&gt;=R19),OR(S19="—",'Бали кандидатів'!$B$10&gt;=S19)),"проходить","НИЖЧЕ мін. балу")</f>
        <v/>
      </c>
      <c r="Y19" s="55">
        <f>IF(AND(OR(R19="—",'Бали кандидатів'!$C$9&gt;=R19),OR(S19="—",'Бали кандидатів'!$C$10&gt;=S19)),"проходить","НИЖЧЕ мін. балу")</f>
        <v/>
      </c>
      <c r="Z19" s="55" t="inlineStr">
        <is>
          <t>Тільки іспит зі спеціальності</t>
        </is>
      </c>
      <c r="AA19" s="60" t="n"/>
      <c r="AB19" s="60" t="n"/>
      <c r="AC19" s="52" t="n"/>
      <c r="AD19" s="60" t="n"/>
      <c r="AE19" s="52" t="inlineStr">
        <is>
          <t>https://vstup.osvita.ua/r27/3582/entrance.html</t>
        </is>
      </c>
      <c r="AF19" s="60" t="inlineStr">
        <is>
          <t>https://vstup.osvita.ua/y2026/r27/3582/1649593/</t>
        </is>
      </c>
      <c r="AG19" s="60" t="n"/>
      <c r="AH19" s="60" t="n"/>
      <c r="AI19" s="52" t="n"/>
      <c r="AJ19" s="37" t="inlineStr"/>
      <c r="AK19" s="37" t="inlineStr"/>
      <c r="AL19" s="37" t="inlineStr"/>
      <c r="AM19" s="37">
        <f>IF(AJ19="","дані ще не вивантажені",IF('Бали кандидатів'!$B$7&gt;=AJ19,"проходить","НЕ проходить за ЄВВ"))</f>
        <v/>
      </c>
      <c r="AN19" s="37">
        <f>IF(AJ19="","дані ще не вивантажені",IF('Бали кандидатів'!$C$7&gt;=AJ19,"проходить","НЕ проходить за ЄВВ"))</f>
        <v/>
      </c>
    </row>
    <row r="20" ht="15" customHeight="1" s="38">
      <c r="A20" s="51" t="inlineStr">
        <is>
          <t>F3 Комп'ютерні науки</t>
        </is>
      </c>
      <c r="B20" s="52" t="inlineStr">
        <is>
          <t>Ужгородський національний університет</t>
        </is>
      </c>
      <c r="C20" s="52" t="inlineStr">
        <is>
          <t>Ужгород</t>
        </is>
      </c>
      <c r="D20" s="53" t="inlineStr">
        <is>
          <t>Закарпатська</t>
        </is>
      </c>
      <c r="E20" s="54" t="inlineStr">
        <is>
          <t>ТАК</t>
        </is>
      </c>
      <c r="F20" s="53" t="inlineStr">
        <is>
          <t>Фіксована</t>
        </is>
      </c>
      <c r="G20" s="55" t="inlineStr">
        <is>
          <t>ні</t>
        </is>
      </c>
      <c r="H20" s="52" t="n"/>
      <c r="I20" s="52" t="inlineStr">
        <is>
          <t>Комп'ютерні науки</t>
        </is>
      </c>
      <c r="J20" s="52" t="inlineStr">
        <is>
          <t>Факультет інформаційних технологій</t>
        </is>
      </c>
      <c r="K20" s="52" t="n">
        <v>5</v>
      </c>
      <c r="L20" s="52" t="n">
        <v>7</v>
      </c>
      <c r="M20" s="56">
        <f>IF(K20=0,"н/д",L20/K20)</f>
        <v/>
      </c>
      <c r="N20" s="52" t="inlineStr">
        <is>
          <t>26.08.2026</t>
        </is>
      </c>
      <c r="O20" s="57" t="n">
        <v>0.4</v>
      </c>
      <c r="P20" s="57" t="n">
        <v>0.2</v>
      </c>
      <c r="Q20" s="57" t="n">
        <v>0</v>
      </c>
      <c r="R20" s="52" t="n">
        <v>100</v>
      </c>
      <c r="S20" s="52" t="n">
        <v>100</v>
      </c>
      <c r="T20" s="58">
        <f>0.2*'Бали кандидатів'!$B$6+0.2*'Бали кандидатів'!$B$7+O20*'Бали кандидатів'!$B$9+P20*'Бали кандидатів'!$B$10+Q20*'Бали кандидатів'!$B$11</f>
        <v/>
      </c>
      <c r="U20" s="58">
        <f>0.2*'Бали кандидатів'!$C$6+0.2*'Бали кандидатів'!$C$7+O20*'Бали кандидатів'!$C$9+P20*'Бали кандидатів'!$C$10+Q20*'Бали кандидатів'!$C$11</f>
        <v/>
      </c>
      <c r="V20" s="59">
        <f>IF('Бали кандидатів'!$B$14&gt;=300,"OK","НЕ ДОПУЩЕНО")</f>
        <v/>
      </c>
      <c r="W20" s="59">
        <f>IF('Бали кандидатів'!$C$14&gt;=300,"OK","НЕ ДОПУЩЕНО")</f>
        <v/>
      </c>
      <c r="X20" s="52">
        <f>IF(AND(OR(R20="—",'Бали кандидатів'!$B$9&gt;=R20),OR(S20="—",'Бали кандидатів'!$B$10&gt;=S20)),"проходить","НИЖЧЕ мін. балу")</f>
        <v/>
      </c>
      <c r="Y20" s="55">
        <f>IF(AND(OR(R20="—",'Бали кандидатів'!$C$9&gt;=R20),OR(S20="—",'Бали кандидатів'!$C$10&gt;=S20)),"проходить","НИЖЧЕ мін. балу")</f>
        <v/>
      </c>
      <c r="Z20" s="55" t="inlineStr">
        <is>
          <t>Іспит + дослідницька пропозиція</t>
        </is>
      </c>
      <c r="AA20" s="60" t="n"/>
      <c r="AB20" s="60" t="n"/>
      <c r="AC20" s="52" t="n"/>
      <c r="AD20" s="60" t="n"/>
      <c r="AE20" s="52" t="inlineStr">
        <is>
          <t>https://vstup.osvita.ua/r8/207/entrance.html</t>
        </is>
      </c>
      <c r="AF20" s="60" t="inlineStr">
        <is>
          <t>https://vstup.osvita.ua/y2026/r8/207/1643044/</t>
        </is>
      </c>
      <c r="AG20" s="60" t="n"/>
      <c r="AH20" s="60" t="n"/>
      <c r="AI20" s="52" t="n"/>
      <c r="AJ20" s="37" t="inlineStr"/>
      <c r="AK20" s="37" t="inlineStr"/>
      <c r="AL20" s="37" t="inlineStr"/>
      <c r="AM20" s="37">
        <f>IF(AJ20="","дані ще не вивантажені",IF('Бали кандидатів'!$B$7&gt;=AJ20,"проходить","НЕ проходить за ЄВВ"))</f>
        <v/>
      </c>
      <c r="AN20" s="37">
        <f>IF(AJ20="","дані ще не вивантажені",IF('Бали кандидатів'!$C$7&gt;=AJ20,"проходить","НЕ проходить за ЄВВ"))</f>
        <v/>
      </c>
    </row>
    <row r="21" ht="15" customHeight="1" s="38">
      <c r="A21" s="51" t="inlineStr">
        <is>
          <t>F3 Комп'ютерні науки</t>
        </is>
      </c>
      <c r="B21" s="52" t="inlineStr">
        <is>
          <t>Одеський національний університет ім. І. І. Мечникова</t>
        </is>
      </c>
      <c r="C21" s="52" t="inlineStr">
        <is>
          <t>Одеса</t>
        </is>
      </c>
      <c r="D21" s="53" t="inlineStr">
        <is>
          <t>Одеська</t>
        </is>
      </c>
      <c r="E21" s="54" t="inlineStr">
        <is>
          <t>ТАК</t>
        </is>
      </c>
      <c r="F21" s="53" t="inlineStr">
        <is>
          <t>Фіксована</t>
        </is>
      </c>
      <c r="G21" s="55" t="inlineStr">
        <is>
          <t>ні</t>
        </is>
      </c>
      <c r="H21" s="52" t="n"/>
      <c r="I21" s="52" t="inlineStr">
        <is>
          <t>Комп'ютерні науки</t>
        </is>
      </c>
      <c r="J21" s="52" t="inlineStr">
        <is>
          <t>Відділ аспірантури та докторантури</t>
        </is>
      </c>
      <c r="K21" s="52" t="n">
        <v>15</v>
      </c>
      <c r="L21" s="52" t="n">
        <v>22</v>
      </c>
      <c r="M21" s="56">
        <f>IF(K21=0,"н/д",L21/K21)</f>
        <v/>
      </c>
      <c r="N21" s="52" t="inlineStr">
        <is>
          <t>26.08.2026</t>
        </is>
      </c>
      <c r="O21" s="57" t="n">
        <v>0.6</v>
      </c>
      <c r="P21" s="57" t="n">
        <v>0</v>
      </c>
      <c r="Q21" s="57" t="n">
        <v>0</v>
      </c>
      <c r="R21" s="52" t="n">
        <v>100</v>
      </c>
      <c r="S21" s="52" t="inlineStr">
        <is>
          <t>—</t>
        </is>
      </c>
      <c r="T21" s="58">
        <f>0.2*'Бали кандидатів'!$B$6+0.2*'Бали кандидатів'!$B$7+O21*'Бали кандидатів'!$B$9+P21*'Бали кандидатів'!$B$10+Q21*'Бали кандидатів'!$B$11</f>
        <v/>
      </c>
      <c r="U21" s="58">
        <f>0.2*'Бали кандидатів'!$C$6+0.2*'Бали кандидатів'!$C$7+O21*'Бали кандидатів'!$C$9+P21*'Бали кандидатів'!$C$10+Q21*'Бали кандидатів'!$C$11</f>
        <v/>
      </c>
      <c r="V21" s="59">
        <f>IF('Бали кандидатів'!$B$14&gt;=300,"OK","НЕ ДОПУЩЕНО")</f>
        <v/>
      </c>
      <c r="W21" s="59">
        <f>IF('Бали кандидатів'!$C$14&gt;=300,"OK","НЕ ДОПУЩЕНО")</f>
        <v/>
      </c>
      <c r="X21" s="52">
        <f>IF(AND(OR(R21="—",'Бали кандидатів'!$B$9&gt;=R21),OR(S21="—",'Бали кандидатів'!$B$10&gt;=S21)),"проходить","НИЖЧЕ мін. балу")</f>
        <v/>
      </c>
      <c r="Y21" s="55">
        <f>IF(AND(OR(R21="—",'Бали кандидатів'!$C$9&gt;=R21),OR(S21="—",'Бали кандидатів'!$C$10&gt;=S21)),"проходить","НИЖЧЕ мін. балу")</f>
        <v/>
      </c>
      <c r="Z21" s="55" t="inlineStr">
        <is>
          <t>Тільки іспит зі спеціальності</t>
        </is>
      </c>
      <c r="AA21" s="60" t="n"/>
      <c r="AB21" s="60" t="n"/>
      <c r="AC21" s="52" t="n"/>
      <c r="AD21" s="60" t="n"/>
      <c r="AE21" s="52" t="inlineStr">
        <is>
          <t>https://vstup.osvita.ua/r16/28/entrance.html</t>
        </is>
      </c>
      <c r="AF21" s="60" t="inlineStr">
        <is>
          <t>https://vstup.osvita.ua/y2026/r16/28/1648414/</t>
        </is>
      </c>
      <c r="AG21" s="60" t="n"/>
      <c r="AH21" s="60" t="n"/>
      <c r="AI21" s="52" t="n"/>
      <c r="AJ21" s="37" t="inlineStr"/>
      <c r="AK21" s="37" t="inlineStr"/>
      <c r="AL21" s="37" t="inlineStr"/>
      <c r="AM21" s="37">
        <f>IF(AJ21="","дані ще не вивантажені",IF('Бали кандидатів'!$B$7&gt;=AJ21,"проходить","НЕ проходить за ЄВВ"))</f>
        <v/>
      </c>
      <c r="AN21" s="37">
        <f>IF(AJ21="","дані ще не вивантажені",IF('Бали кандидатів'!$C$7&gt;=AJ21,"проходить","НЕ проходить за ЄВВ"))</f>
        <v/>
      </c>
    </row>
    <row r="22" ht="26.85" customHeight="1" s="38">
      <c r="A22" s="51" t="inlineStr">
        <is>
          <t>F4 Системний аналіз</t>
        </is>
      </c>
      <c r="B22" s="52" t="inlineStr">
        <is>
          <t>НУ «Одеська політехніка»</t>
        </is>
      </c>
      <c r="C22" s="52" t="inlineStr">
        <is>
          <t>Одеса</t>
        </is>
      </c>
      <c r="D22" s="53" t="inlineStr">
        <is>
          <t>Одеська</t>
        </is>
      </c>
      <c r="E22" s="54" t="inlineStr">
        <is>
          <t>ТАК</t>
        </is>
      </c>
      <c r="F22" s="53" t="inlineStr">
        <is>
          <t>Фіксована</t>
        </is>
      </c>
      <c r="G22" s="55" t="inlineStr">
        <is>
          <t>ні</t>
        </is>
      </c>
      <c r="H22" s="52" t="n"/>
      <c r="I22" s="52" t="inlineStr">
        <is>
          <t>Системний аналіз та наука про дані</t>
        </is>
      </c>
      <c r="J22" s="52" t="inlineStr">
        <is>
          <t>Відділ аспірантури і докторантури</t>
        </is>
      </c>
      <c r="K22" s="52" t="n">
        <v>4</v>
      </c>
      <c r="L22" s="52" t="n">
        <v>6</v>
      </c>
      <c r="M22" s="56">
        <f>IF(K22=0,"н/д",L22/K22)</f>
        <v/>
      </c>
      <c r="N22" s="52" t="inlineStr">
        <is>
          <t>26.08.2026</t>
        </is>
      </c>
      <c r="O22" s="63" t="inlineStr">
        <is>
          <t>?</t>
        </is>
      </c>
      <c r="P22" s="63" t="inlineStr">
        <is>
          <t>?</t>
        </is>
      </c>
      <c r="Q22" s="63" t="inlineStr">
        <is>
          <t>?</t>
        </is>
      </c>
      <c r="R22" s="52" t="inlineStr">
        <is>
          <t>?</t>
        </is>
      </c>
      <c r="S22" s="52" t="inlineStr">
        <is>
          <t>?</t>
        </is>
      </c>
      <c r="T22" s="64" t="inlineStr">
        <is>
          <t>ваги невідомі</t>
        </is>
      </c>
      <c r="U22" s="64" t="inlineStr">
        <is>
          <t>ваги невідомі</t>
        </is>
      </c>
      <c r="V22" s="59">
        <f>IF('Бали кандидатів'!$B$14&gt;=300,"OK","НЕ ДОПУЩЕНО")</f>
        <v/>
      </c>
      <c r="W22" s="59">
        <f>IF('Бали кандидатів'!$C$14&gt;=300,"OK","НЕ ДОПУЩЕНО")</f>
        <v/>
      </c>
      <c r="X22" s="52" t="inlineStr">
        <is>
          <t>—</t>
        </is>
      </c>
      <c r="Y22" s="55" t="inlineStr">
        <is>
          <t>—</t>
        </is>
      </c>
      <c r="Z22" s="55" t="inlineStr">
        <is>
          <t>ваги не зчитані — уточнити на сторінці пропозиції</t>
        </is>
      </c>
      <c r="AA22" s="60" t="inlineStr">
        <is>
          <t>Складові конкурсного бала у вихідних даних відсутні — відкрити «Детальніше» на сторінці ЗВО</t>
        </is>
      </c>
      <c r="AB22" s="60" t="n"/>
      <c r="AC22" s="52" t="n"/>
      <c r="AD22" s="60" t="n"/>
      <c r="AE22" s="52" t="inlineStr">
        <is>
          <t>https://vstup.osvita.ua/r16/5754/entrance.html</t>
        </is>
      </c>
      <c r="AF22" s="60" t="inlineStr">
        <is>
          <t>https://vstup.osvita.ua/r16/5754/</t>
        </is>
      </c>
      <c r="AG22" s="60" t="n"/>
      <c r="AH22" s="60" t="n"/>
      <c r="AI22" s="52" t="n"/>
      <c r="AJ22" s="37" t="inlineStr"/>
      <c r="AK22" s="37" t="inlineStr"/>
      <c r="AL22" s="37" t="inlineStr"/>
      <c r="AM22" s="37">
        <f>IF(AJ22="","дані ще не вивантажені",IF('Бали кандидатів'!$B$7&gt;=AJ22,"проходить","НЕ проходить за ЄВВ"))</f>
        <v/>
      </c>
      <c r="AN22" s="37">
        <f>IF(AJ22="","дані ще не вивантажені",IF('Бали кандидатів'!$C$7&gt;=AJ22,"проходить","НЕ проходить за ЄВВ"))</f>
        <v/>
      </c>
    </row>
    <row r="23" ht="15" customHeight="1" s="38">
      <c r="A23" s="51" t="inlineStr">
        <is>
          <t>F2 Інженерія ПЗ</t>
        </is>
      </c>
      <c r="B23" s="52" t="inlineStr">
        <is>
          <t>Черкаський державний технологічний університет</t>
        </is>
      </c>
      <c r="C23" s="52" t="inlineStr">
        <is>
          <t>Черкаси</t>
        </is>
      </c>
      <c r="D23" s="53" t="inlineStr">
        <is>
          <t>Черкаська</t>
        </is>
      </c>
      <c r="E23" s="54" t="inlineStr">
        <is>
          <t>ТАК</t>
        </is>
      </c>
      <c r="F23" s="53" t="inlineStr">
        <is>
          <t>Фіксована</t>
        </is>
      </c>
      <c r="G23" s="55" t="inlineStr">
        <is>
          <t>ні</t>
        </is>
      </c>
      <c r="H23" s="52" t="n"/>
      <c r="I23" s="52" t="inlineStr">
        <is>
          <t>Інженерія програмного забезпечення</t>
        </is>
      </c>
      <c r="J23" s="52" t="inlineStr">
        <is>
          <t>Інформаційних технологій і систем</t>
        </is>
      </c>
      <c r="K23" s="52" t="n">
        <v>5</v>
      </c>
      <c r="L23" s="52" t="n">
        <v>8</v>
      </c>
      <c r="M23" s="56">
        <f>IF(K23=0,"н/д",L23/K23)</f>
        <v/>
      </c>
      <c r="N23" s="52" t="inlineStr">
        <is>
          <t>26.08.2026</t>
        </is>
      </c>
      <c r="O23" s="57" t="n">
        <v>0.6</v>
      </c>
      <c r="P23" s="57" t="n">
        <v>0</v>
      </c>
      <c r="Q23" s="57" t="n">
        <v>0</v>
      </c>
      <c r="R23" s="52" t="inlineStr">
        <is>
          <t>—</t>
        </is>
      </c>
      <c r="S23" s="52" t="inlineStr">
        <is>
          <t>—</t>
        </is>
      </c>
      <c r="T23" s="58">
        <f>0.2*'Бали кандидатів'!$B$6+0.2*'Бали кандидатів'!$B$7+O23*'Бали кандидатів'!$B$9+P23*'Бали кандидатів'!$B$10+Q23*'Бали кандидатів'!$B$11</f>
        <v/>
      </c>
      <c r="U23" s="58">
        <f>0.2*'Бали кандидатів'!$C$6+0.2*'Бали кандидатів'!$C$7+O23*'Бали кандидатів'!$C$9+P23*'Бали кандидатів'!$C$10+Q23*'Бали кандидатів'!$C$11</f>
        <v/>
      </c>
      <c r="V23" s="59">
        <f>IF('Бали кандидатів'!$B$14&gt;=300,"OK","НЕ ДОПУЩЕНО")</f>
        <v/>
      </c>
      <c r="W23" s="59">
        <f>IF('Бали кандидатів'!$C$14&gt;=300,"OK","НЕ ДОПУЩЕНО")</f>
        <v/>
      </c>
      <c r="X23" s="52">
        <f>IF(AND(OR(R23="—",'Бали кандидатів'!$B$9&gt;=R23),OR(S23="—",'Бали кандидатів'!$B$10&gt;=S23)),"проходить","НИЖЧЕ мін. балу")</f>
        <v/>
      </c>
      <c r="Y23" s="55">
        <f>IF(AND(OR(R23="—",'Бали кандидатів'!$C$9&gt;=R23),OR(S23="—",'Бали кандидатів'!$C$10&gt;=S23)),"проходить","НИЖЧЕ мін. балу")</f>
        <v/>
      </c>
      <c r="Z23" s="55" t="inlineStr">
        <is>
          <t>Тільки іспит зі спеціальності</t>
        </is>
      </c>
      <c r="AA23" s="60" t="n"/>
      <c r="AB23" s="60" t="n"/>
      <c r="AC23" s="52" t="n"/>
      <c r="AD23" s="60" t="n"/>
      <c r="AE23" s="52" t="inlineStr">
        <is>
          <t>https://vstup.osvita.ua/r24/248/entrance.html</t>
        </is>
      </c>
      <c r="AF23" s="60" t="inlineStr">
        <is>
          <t>https://vstup.osvita.ua/y2026/r24/248/1648421/</t>
        </is>
      </c>
      <c r="AG23" s="60" t="n"/>
      <c r="AH23" s="60" t="n"/>
      <c r="AI23" s="52" t="n"/>
      <c r="AJ23" s="37" t="inlineStr"/>
      <c r="AK23" s="37" t="inlineStr"/>
      <c r="AL23" s="37" t="inlineStr"/>
      <c r="AM23" s="37">
        <f>IF(AJ23="","дані ще не вивантажені",IF('Бали кандидатів'!$B$7&gt;=AJ23,"проходить","НЕ проходить за ЄВВ"))</f>
        <v/>
      </c>
      <c r="AN23" s="37">
        <f>IF(AJ23="","дані ще не вивантажені",IF('Бали кандидатів'!$C$7&gt;=AJ23,"проходить","НЕ проходить за ЄВВ"))</f>
        <v/>
      </c>
    </row>
    <row r="24" ht="15" customHeight="1" s="38">
      <c r="A24" s="51" t="inlineStr">
        <is>
          <t>F2 Інженерія ПЗ</t>
        </is>
      </c>
      <c r="B24" s="52" t="inlineStr">
        <is>
          <t>Тернопільський національний технічний університет ім. І. Пулюя</t>
        </is>
      </c>
      <c r="C24" s="52" t="inlineStr">
        <is>
          <t>Тернопіль</t>
        </is>
      </c>
      <c r="D24" s="53" t="inlineStr">
        <is>
          <t>Тернопільська</t>
        </is>
      </c>
      <c r="E24" s="54" t="inlineStr">
        <is>
          <t>ТАК</t>
        </is>
      </c>
      <c r="F24" s="53" t="inlineStr">
        <is>
          <t>Фіксована</t>
        </is>
      </c>
      <c r="G24" s="55" t="inlineStr">
        <is>
          <t>ні</t>
        </is>
      </c>
      <c r="H24" s="52" t="n"/>
      <c r="I24" s="52" t="inlineStr">
        <is>
          <t>Інженерія програмного забезпечення</t>
        </is>
      </c>
      <c r="J24" s="52" t="n"/>
      <c r="K24" s="52" t="n">
        <v>8</v>
      </c>
      <c r="L24" s="52" t="n">
        <v>13</v>
      </c>
      <c r="M24" s="56">
        <f>IF(K24=0,"н/д",L24/K24)</f>
        <v/>
      </c>
      <c r="N24" s="52" t="inlineStr">
        <is>
          <t>26.08.2026</t>
        </is>
      </c>
      <c r="O24" s="57" t="n">
        <v>0.6</v>
      </c>
      <c r="P24" s="57" t="n">
        <v>0</v>
      </c>
      <c r="Q24" s="57" t="n">
        <v>0</v>
      </c>
      <c r="R24" s="52" t="n">
        <v>100</v>
      </c>
      <c r="S24" s="52" t="inlineStr">
        <is>
          <t>—</t>
        </is>
      </c>
      <c r="T24" s="58">
        <f>0.2*'Бали кандидатів'!$B$6+0.2*'Бали кандидатів'!$B$7+O24*'Бали кандидатів'!$B$9+P24*'Бали кандидатів'!$B$10+Q24*'Бали кандидатів'!$B$11</f>
        <v/>
      </c>
      <c r="U24" s="58">
        <f>0.2*'Бали кандидатів'!$C$6+0.2*'Бали кандидатів'!$C$7+O24*'Бали кандидатів'!$C$9+P24*'Бали кандидатів'!$C$10+Q24*'Бали кандидатів'!$C$11</f>
        <v/>
      </c>
      <c r="V24" s="59">
        <f>IF('Бали кандидатів'!$B$14&gt;=300,"OK","НЕ ДОПУЩЕНО")</f>
        <v/>
      </c>
      <c r="W24" s="59">
        <f>IF('Бали кандидатів'!$C$14&gt;=300,"OK","НЕ ДОПУЩЕНО")</f>
        <v/>
      </c>
      <c r="X24" s="52">
        <f>IF(AND(OR(R24="—",'Бали кандидатів'!$B$9&gt;=R24),OR(S24="—",'Бали кандидатів'!$B$10&gt;=S24)),"проходить","НИЖЧЕ мін. балу")</f>
        <v/>
      </c>
      <c r="Y24" s="55">
        <f>IF(AND(OR(R24="—",'Бали кандидатів'!$C$9&gt;=R24),OR(S24="—",'Бали кандидатів'!$C$10&gt;=S24)),"проходить","НИЖЧЕ мін. балу")</f>
        <v/>
      </c>
      <c r="Z24" s="55" t="inlineStr">
        <is>
          <t>Тільки іспит зі спеціальності</t>
        </is>
      </c>
      <c r="AA24" s="60" t="n"/>
      <c r="AB24" s="60" t="n"/>
      <c r="AC24" s="52" t="n"/>
      <c r="AD24" s="60" t="n"/>
      <c r="AE24" s="52" t="inlineStr">
        <is>
          <t>https://vstup.osvita.ua/r20/166/entrance.html</t>
        </is>
      </c>
      <c r="AF24" s="60" t="inlineStr">
        <is>
          <t>https://vstup.osvita.ua/y2026/r20/166/1644708/</t>
        </is>
      </c>
      <c r="AG24" s="60" t="n"/>
      <c r="AH24" s="60" t="n"/>
      <c r="AI24" s="52" t="n"/>
      <c r="AJ24" s="37" t="inlineStr"/>
      <c r="AK24" s="37" t="inlineStr"/>
      <c r="AL24" s="37" t="inlineStr"/>
      <c r="AM24" s="37">
        <f>IF(AJ24="","дані ще не вивантажені",IF('Бали кандидатів'!$B$7&gt;=AJ24,"проходить","НЕ проходить за ЄВВ"))</f>
        <v/>
      </c>
      <c r="AN24" s="37">
        <f>IF(AJ24="","дані ще не вивантажені",IF('Бали кандидатів'!$C$7&gt;=AJ24,"проходить","НЕ проходить за ЄВВ"))</f>
        <v/>
      </c>
    </row>
    <row r="25" ht="15" customHeight="1" s="38">
      <c r="A25" s="51" t="inlineStr">
        <is>
          <t>F3 Комп'ютерні науки</t>
        </is>
      </c>
      <c r="B25" s="52" t="inlineStr">
        <is>
          <t>Західноукраїнський національний університет</t>
        </is>
      </c>
      <c r="C25" s="52" t="inlineStr">
        <is>
          <t>Тернопіль</t>
        </is>
      </c>
      <c r="D25" s="53" t="inlineStr">
        <is>
          <t>Тернопільська</t>
        </is>
      </c>
      <c r="E25" s="54" t="inlineStr">
        <is>
          <t>ТАК</t>
        </is>
      </c>
      <c r="F25" s="53" t="inlineStr">
        <is>
          <t>Фіксована</t>
        </is>
      </c>
      <c r="G25" s="55" t="inlineStr">
        <is>
          <t>ні</t>
        </is>
      </c>
      <c r="H25" s="52" t="n"/>
      <c r="I25" s="52" t="inlineStr">
        <is>
          <t>Комп'ютерні науки</t>
        </is>
      </c>
      <c r="J25" s="52" t="inlineStr">
        <is>
          <t>Комп'ютерних інформаційних технологій</t>
        </is>
      </c>
      <c r="K25" s="52" t="n">
        <v>11</v>
      </c>
      <c r="L25" s="52" t="n">
        <v>18</v>
      </c>
      <c r="M25" s="56">
        <f>IF(K25=0,"н/д",L25/K25)</f>
        <v/>
      </c>
      <c r="N25" s="52" t="inlineStr">
        <is>
          <t>26.08.2026</t>
        </is>
      </c>
      <c r="O25" s="57" t="n">
        <v>0.6</v>
      </c>
      <c r="P25" s="57" t="n">
        <v>0</v>
      </c>
      <c r="Q25" s="57" t="n">
        <v>0</v>
      </c>
      <c r="R25" s="52" t="inlineStr">
        <is>
          <t>—</t>
        </is>
      </c>
      <c r="S25" s="52" t="inlineStr">
        <is>
          <t>—</t>
        </is>
      </c>
      <c r="T25" s="58">
        <f>0.2*'Бали кандидатів'!$B$6+0.2*'Бали кандидатів'!$B$7+O25*'Бали кандидатів'!$B$9+P25*'Бали кандидатів'!$B$10+Q25*'Бали кандидатів'!$B$11</f>
        <v/>
      </c>
      <c r="U25" s="58">
        <f>0.2*'Бали кандидатів'!$C$6+0.2*'Бали кандидатів'!$C$7+O25*'Бали кандидатів'!$C$9+P25*'Бали кандидатів'!$C$10+Q25*'Бали кандидатів'!$C$11</f>
        <v/>
      </c>
      <c r="V25" s="59">
        <f>IF('Бали кандидатів'!$B$14&gt;=300,"OK","НЕ ДОПУЩЕНО")</f>
        <v/>
      </c>
      <c r="W25" s="59">
        <f>IF('Бали кандидатів'!$C$14&gt;=300,"OK","НЕ ДОПУЩЕНО")</f>
        <v/>
      </c>
      <c r="X25" s="52">
        <f>IF(AND(OR(R25="—",'Бали кандидатів'!$B$9&gt;=R25),OR(S25="—",'Бали кандидатів'!$B$10&gt;=S25)),"проходить","НИЖЧЕ мін. балу")</f>
        <v/>
      </c>
      <c r="Y25" s="55">
        <f>IF(AND(OR(R25="—",'Бали кандидатів'!$C$9&gt;=R25),OR(S25="—",'Бали кандидатів'!$C$10&gt;=S25)),"проходить","НИЖЧЕ мін. балу")</f>
        <v/>
      </c>
      <c r="Z25" s="55" t="inlineStr">
        <is>
          <t>Тільки іспит зі спеціальності</t>
        </is>
      </c>
      <c r="AA25" s="60" t="inlineStr">
        <is>
          <t>Додаткова співбесіда для вступників з іншої спеціальності (вага 0)</t>
        </is>
      </c>
      <c r="AB25" s="60" t="n"/>
      <c r="AC25" s="52" t="n"/>
      <c r="AD25" s="60" t="n"/>
      <c r="AE25" s="52" t="inlineStr">
        <is>
          <t>https://vstup.osvita.ua/r20/171/entrance.html</t>
        </is>
      </c>
      <c r="AF25" s="60" t="inlineStr">
        <is>
          <t>https://vstup.osvita.ua/y2026/r20/171/1652658/</t>
        </is>
      </c>
      <c r="AG25" s="60" t="n"/>
      <c r="AH25" s="60" t="n"/>
      <c r="AI25" s="52" t="n"/>
      <c r="AJ25" s="37" t="inlineStr"/>
      <c r="AK25" s="37" t="inlineStr"/>
      <c r="AL25" s="37" t="inlineStr"/>
      <c r="AM25" s="37">
        <f>IF(AJ25="","дані ще не вивантажені",IF('Бали кандидатів'!$B$7&gt;=AJ25,"проходить","НЕ проходить за ЄВВ"))</f>
        <v/>
      </c>
      <c r="AN25" s="37">
        <f>IF(AJ25="","дані ще не вивантажені",IF('Бали кандидатів'!$C$7&gt;=AJ25,"проходить","НЕ проходить за ЄВВ"))</f>
        <v/>
      </c>
    </row>
    <row r="26" ht="15" customHeight="1" s="38">
      <c r="A26" s="51" t="inlineStr">
        <is>
          <t>F3 Комп'ютерні науки</t>
        </is>
      </c>
      <c r="B26" s="52" t="inlineStr">
        <is>
          <t>Харківський авіаційний інститут (ХАІ)</t>
        </is>
      </c>
      <c r="C26" s="52" t="inlineStr">
        <is>
          <t>Харків</t>
        </is>
      </c>
      <c r="D26" s="53" t="inlineStr">
        <is>
          <t>Харківська</t>
        </is>
      </c>
      <c r="E26" s="54" t="inlineStr">
        <is>
          <t>ТАК</t>
        </is>
      </c>
      <c r="F26" s="53" t="inlineStr">
        <is>
          <t>Фіксована</t>
        </is>
      </c>
      <c r="G26" s="55" t="inlineStr">
        <is>
          <t>ні</t>
        </is>
      </c>
      <c r="H26" s="52" t="n"/>
      <c r="I26" s="52" t="inlineStr">
        <is>
          <t>Інформаційні технології</t>
        </is>
      </c>
      <c r="J26" s="52" t="inlineStr">
        <is>
          <t>Радіоелектроніки, комп. систем та інфокомунікацій</t>
        </is>
      </c>
      <c r="K26" s="52" t="n">
        <v>3</v>
      </c>
      <c r="L26" s="52" t="n">
        <v>5</v>
      </c>
      <c r="M26" s="56">
        <f>IF(K26=0,"н/д",L26/K26)</f>
        <v/>
      </c>
      <c r="N26" s="52" t="inlineStr">
        <is>
          <t>26.08.2026</t>
        </is>
      </c>
      <c r="O26" s="57" t="n">
        <v>0.6</v>
      </c>
      <c r="P26" s="57" t="n">
        <v>0</v>
      </c>
      <c r="Q26" s="57" t="n">
        <v>0</v>
      </c>
      <c r="R26" s="52" t="inlineStr">
        <is>
          <t>—</t>
        </is>
      </c>
      <c r="S26" s="52" t="inlineStr">
        <is>
          <t>—</t>
        </is>
      </c>
      <c r="T26" s="58">
        <f>0.2*'Бали кандидатів'!$B$6+0.2*'Бали кандидатів'!$B$7+O26*'Бали кандидатів'!$B$9+P26*'Бали кандидатів'!$B$10+Q26*'Бали кандидатів'!$B$11</f>
        <v/>
      </c>
      <c r="U26" s="58">
        <f>0.2*'Бали кандидатів'!$C$6+0.2*'Бали кандидатів'!$C$7+O26*'Бали кандидатів'!$C$9+P26*'Бали кандидатів'!$C$10+Q26*'Бали кандидатів'!$C$11</f>
        <v/>
      </c>
      <c r="V26" s="59">
        <f>IF('Бали кандидатів'!$B$14&gt;=300,"OK","НЕ ДОПУЩЕНО")</f>
        <v/>
      </c>
      <c r="W26" s="59">
        <f>IF('Бали кандидатів'!$C$14&gt;=300,"OK","НЕ ДОПУЩЕНО")</f>
        <v/>
      </c>
      <c r="X26" s="52">
        <f>IF(AND(OR(R26="—",'Бали кандидатів'!$B$9&gt;=R26),OR(S26="—",'Бали кандидатів'!$B$10&gt;=S26)),"проходить","НИЖЧЕ мін. балу")</f>
        <v/>
      </c>
      <c r="Y26" s="55">
        <f>IF(AND(OR(R26="—",'Бали кандидатів'!$C$9&gt;=R26),OR(S26="—",'Бали кандидатів'!$C$10&gt;=S26)),"проходить","НИЖЧЕ мін. балу")</f>
        <v/>
      </c>
      <c r="Z26" s="55" t="inlineStr">
        <is>
          <t>Тільки іспит зі спеціальності</t>
        </is>
      </c>
      <c r="AA26" s="60" t="n"/>
      <c r="AB26" s="60" t="n"/>
      <c r="AC26" s="52" t="n"/>
      <c r="AD26" s="60" t="n"/>
      <c r="AE26" s="52" t="inlineStr">
        <is>
          <t>https://vstup.osvita.ua/r21/34/entrance.html</t>
        </is>
      </c>
      <c r="AF26" s="60" t="inlineStr">
        <is>
          <t>https://vstup.osvita.ua/y2026/r21/34/1644836/</t>
        </is>
      </c>
      <c r="AG26" s="60" t="n"/>
      <c r="AH26" s="60" t="n"/>
      <c r="AI26" s="52" t="n"/>
      <c r="AJ26" s="37" t="inlineStr"/>
      <c r="AK26" s="37" t="inlineStr"/>
      <c r="AL26" s="37" t="inlineStr"/>
      <c r="AM26" s="37">
        <f>IF(AJ26="","дані ще не вивантажені",IF('Бали кандидатів'!$B$7&gt;=AJ26,"проходить","НЕ проходить за ЄВВ"))</f>
        <v/>
      </c>
      <c r="AN26" s="37">
        <f>IF(AJ26="","дані ще не вивантажені",IF('Бали кандидатів'!$C$7&gt;=AJ26,"проходить","НЕ проходить за ЄВВ"))</f>
        <v/>
      </c>
    </row>
    <row r="27" ht="15" customHeight="1" s="38">
      <c r="A27" s="51" t="inlineStr">
        <is>
          <t>F3 Комп'ютерні науки</t>
        </is>
      </c>
      <c r="B27" s="52" t="inlineStr">
        <is>
          <t>Харківський національний економічний університет ім. С. Кузнеця</t>
        </is>
      </c>
      <c r="C27" s="52" t="inlineStr">
        <is>
          <t>Харків</t>
        </is>
      </c>
      <c r="D27" s="53" t="inlineStr">
        <is>
          <t>Харківська</t>
        </is>
      </c>
      <c r="E27" s="54" t="inlineStr">
        <is>
          <t>ТАК</t>
        </is>
      </c>
      <c r="F27" s="53" t="inlineStr">
        <is>
          <t>Фіксована</t>
        </is>
      </c>
      <c r="G27" s="55" t="inlineStr">
        <is>
          <t>ні</t>
        </is>
      </c>
      <c r="H27" s="52" t="n"/>
      <c r="I27" s="52" t="inlineStr">
        <is>
          <t>Комп'ютерні науки</t>
        </is>
      </c>
      <c r="J27" s="52" t="inlineStr">
        <is>
          <t>Відділ аспірантури і докторантури</t>
        </is>
      </c>
      <c r="K27" s="52" t="n">
        <v>13</v>
      </c>
      <c r="L27" s="52" t="n">
        <v>22</v>
      </c>
      <c r="M27" s="56">
        <f>IF(K27=0,"н/д",L27/K27)</f>
        <v/>
      </c>
      <c r="N27" s="52" t="inlineStr">
        <is>
          <t>26.08.2026</t>
        </is>
      </c>
      <c r="O27" s="57" t="n">
        <v>0.6</v>
      </c>
      <c r="P27" s="57" t="n">
        <v>0</v>
      </c>
      <c r="Q27" s="57" t="n">
        <v>0</v>
      </c>
      <c r="R27" s="52" t="n">
        <v>100</v>
      </c>
      <c r="S27" s="52" t="inlineStr">
        <is>
          <t>—</t>
        </is>
      </c>
      <c r="T27" s="58">
        <f>0.2*'Бали кандидатів'!$B$6+0.2*'Бали кандидатів'!$B$7+O27*'Бали кандидатів'!$B$9+P27*'Бали кандидатів'!$B$10+Q27*'Бали кандидатів'!$B$11</f>
        <v/>
      </c>
      <c r="U27" s="58">
        <f>0.2*'Бали кандидатів'!$C$6+0.2*'Бали кандидатів'!$C$7+O27*'Бали кандидатів'!$C$9+P27*'Бали кандидатів'!$C$10+Q27*'Бали кандидатів'!$C$11</f>
        <v/>
      </c>
      <c r="V27" s="59">
        <f>IF('Бали кандидатів'!$B$14&gt;=300,"OK","НЕ ДОПУЩЕНО")</f>
        <v/>
      </c>
      <c r="W27" s="59">
        <f>IF('Бали кандидатів'!$C$14&gt;=300,"OK","НЕ ДОПУЩЕНО")</f>
        <v/>
      </c>
      <c r="X27" s="52">
        <f>IF(AND(OR(R27="—",'Бали кандидатів'!$B$9&gt;=R27),OR(S27="—",'Бали кандидатів'!$B$10&gt;=S27)),"проходить","НИЖЧЕ мін. балу")</f>
        <v/>
      </c>
      <c r="Y27" s="55">
        <f>IF(AND(OR(R27="—",'Бали кандидатів'!$C$9&gt;=R27),OR(S27="—",'Бали кандидатів'!$C$10&gt;=S27)),"проходить","НИЖЧЕ мін. балу")</f>
        <v/>
      </c>
      <c r="Z27" s="55" t="inlineStr">
        <is>
          <t>Тільки іспит зі спеціальності</t>
        </is>
      </c>
      <c r="AA27" s="60" t="n"/>
      <c r="AB27" s="60" t="n"/>
      <c r="AC27" s="52" t="n"/>
      <c r="AD27" s="60" t="n"/>
      <c r="AE27" s="52" t="inlineStr">
        <is>
          <t>https://vstup.osvita.ua/r21/227/entrance.html</t>
        </is>
      </c>
      <c r="AF27" s="60" t="inlineStr">
        <is>
          <t>https://vstup.osvita.ua/y2026/r21/227/1649303/</t>
        </is>
      </c>
      <c r="AG27" s="60" t="n"/>
      <c r="AH27" s="60" t="n"/>
      <c r="AI27" s="52" t="n"/>
      <c r="AJ27" s="37" t="inlineStr"/>
      <c r="AK27" s="37" t="inlineStr"/>
      <c r="AL27" s="37" t="inlineStr"/>
      <c r="AM27" s="37">
        <f>IF(AJ27="","дані ще не вивантажені",IF('Бали кандидатів'!$B$7&gt;=AJ27,"проходить","НЕ проходить за ЄВВ"))</f>
        <v/>
      </c>
      <c r="AN27" s="37">
        <f>IF(AJ27="","дані ще не вивантажені",IF('Бали кандидатів'!$C$7&gt;=AJ27,"проходить","НЕ проходить за ЄВВ"))</f>
        <v/>
      </c>
    </row>
    <row r="28" ht="15" customHeight="1" s="38">
      <c r="A28" s="51" t="inlineStr">
        <is>
          <t>F3 Комп'ютерні науки</t>
        </is>
      </c>
      <c r="B28" s="52" t="inlineStr">
        <is>
          <t>Національний університет водного господарства та природокористування</t>
        </is>
      </c>
      <c r="C28" s="52" t="inlineStr">
        <is>
          <t>Рівне</t>
        </is>
      </c>
      <c r="D28" s="53" t="inlineStr">
        <is>
          <t>Рівненська</t>
        </is>
      </c>
      <c r="E28" s="54" t="inlineStr">
        <is>
          <t>ТАК</t>
        </is>
      </c>
      <c r="F28" s="53" t="inlineStr">
        <is>
          <t>Фіксована</t>
        </is>
      </c>
      <c r="G28" s="55" t="inlineStr">
        <is>
          <t>ні</t>
        </is>
      </c>
      <c r="H28" s="52" t="n"/>
      <c r="I28" s="52" t="inlineStr">
        <is>
          <t>Комп'ютерні науки</t>
        </is>
      </c>
      <c r="J28" s="52" t="n"/>
      <c r="K28" s="52" t="n">
        <v>10</v>
      </c>
      <c r="L28" s="52" t="n">
        <v>17</v>
      </c>
      <c r="M28" s="56">
        <f>IF(K28=0,"н/д",L28/K28)</f>
        <v/>
      </c>
      <c r="N28" s="52" t="inlineStr">
        <is>
          <t>26.08.2026</t>
        </is>
      </c>
      <c r="O28" s="57" t="n">
        <v>0.6</v>
      </c>
      <c r="P28" s="57" t="n">
        <v>0</v>
      </c>
      <c r="Q28" s="57" t="n">
        <v>0</v>
      </c>
      <c r="R28" s="52" t="inlineStr">
        <is>
          <t>—</t>
        </is>
      </c>
      <c r="S28" s="52" t="inlineStr">
        <is>
          <t>—</t>
        </is>
      </c>
      <c r="T28" s="58">
        <f>0.2*'Бали кандидатів'!$B$6+0.2*'Бали кандидатів'!$B$7+O28*'Бали кандидатів'!$B$9+P28*'Бали кандидатів'!$B$10+Q28*'Бали кандидатів'!$B$11</f>
        <v/>
      </c>
      <c r="U28" s="58">
        <f>0.2*'Бали кандидатів'!$C$6+0.2*'Бали кандидатів'!$C$7+O28*'Бали кандидатів'!$C$9+P28*'Бали кандидатів'!$C$10+Q28*'Бали кандидатів'!$C$11</f>
        <v/>
      </c>
      <c r="V28" s="59">
        <f>IF('Бали кандидатів'!$B$14&gt;=300,"OK","НЕ ДОПУЩЕНО")</f>
        <v/>
      </c>
      <c r="W28" s="59">
        <f>IF('Бали кандидатів'!$C$14&gt;=300,"OK","НЕ ДОПУЩЕНО")</f>
        <v/>
      </c>
      <c r="X28" s="52">
        <f>IF(AND(OR(R28="—",'Бали кандидатів'!$B$9&gt;=R28),OR(S28="—",'Бали кандидатів'!$B$10&gt;=S28)),"проходить","НИЖЧЕ мін. балу")</f>
        <v/>
      </c>
      <c r="Y28" s="55">
        <f>IF(AND(OR(R28="—",'Бали кандидатів'!$C$9&gt;=R28),OR(S28="—",'Бали кандидатів'!$C$10&gt;=S28)),"проходить","НИЖЧЕ мін. балу")</f>
        <v/>
      </c>
      <c r="Z28" s="55" t="inlineStr">
        <is>
          <t>Тільки іспит зі спеціальності</t>
        </is>
      </c>
      <c r="AA28" s="60" t="n"/>
      <c r="AB28" s="60" t="n"/>
      <c r="AC28" s="52" t="n"/>
      <c r="AD28" s="60" t="n"/>
      <c r="AE28" s="52" t="inlineStr">
        <is>
          <t>https://vstup.osvita.ua/r18/9/entrance.html</t>
        </is>
      </c>
      <c r="AF28" s="60" t="inlineStr">
        <is>
          <t>https://vstup.osvita.ua/y2026/r18/9/1650315/</t>
        </is>
      </c>
      <c r="AG28" s="60" t="n"/>
      <c r="AH28" s="60" t="n"/>
      <c r="AI28" s="52" t="n"/>
      <c r="AJ28" s="37" t="inlineStr"/>
      <c r="AK28" s="37" t="inlineStr"/>
      <c r="AL28" s="37" t="inlineStr"/>
      <c r="AM28" s="37">
        <f>IF(AJ28="","дані ще не вивантажені",IF('Бали кандидатів'!$B$7&gt;=AJ28,"проходить","НЕ проходить за ЄВВ"))</f>
        <v/>
      </c>
      <c r="AN28" s="37">
        <f>IF(AJ28="","дані ще не вивантажені",IF('Бали кандидатів'!$C$7&gt;=AJ28,"проходить","НЕ проходить за ЄВВ"))</f>
        <v/>
      </c>
    </row>
    <row r="29" ht="26.85" customHeight="1" s="38">
      <c r="A29" s="51" t="inlineStr">
        <is>
          <t>F4 Системний аналіз</t>
        </is>
      </c>
      <c r="B29" s="52" t="inlineStr">
        <is>
          <t>Київський національний університет ім. Т. Шевченка</t>
        </is>
      </c>
      <c r="C29" s="52" t="inlineStr">
        <is>
          <t>Київ</t>
        </is>
      </c>
      <c r="D29" s="53" t="inlineStr">
        <is>
          <t>Київ</t>
        </is>
      </c>
      <c r="E29" s="54" t="inlineStr">
        <is>
          <t>ТАК</t>
        </is>
      </c>
      <c r="F29" s="53" t="inlineStr">
        <is>
          <t>Фіксована</t>
        </is>
      </c>
      <c r="G29" s="55" t="inlineStr">
        <is>
          <t>ні</t>
        </is>
      </c>
      <c r="H29" s="52" t="n"/>
      <c r="I29" s="52" t="inlineStr">
        <is>
          <t>Системний аналіз</t>
        </is>
      </c>
      <c r="J29" s="52" t="inlineStr">
        <is>
          <t>Комп'ютерних наук та кібернетики</t>
        </is>
      </c>
      <c r="K29" s="52" t="n">
        <v>7</v>
      </c>
      <c r="L29" s="52" t="n">
        <v>12</v>
      </c>
      <c r="M29" s="56">
        <f>IF(K29=0,"н/д",L29/K29)</f>
        <v/>
      </c>
      <c r="N29" s="52" t="inlineStr">
        <is>
          <t>26.08.2026</t>
        </is>
      </c>
      <c r="O29" s="63" t="inlineStr">
        <is>
          <t>?</t>
        </is>
      </c>
      <c r="P29" s="63" t="inlineStr">
        <is>
          <t>?</t>
        </is>
      </c>
      <c r="Q29" s="63" t="inlineStr">
        <is>
          <t>?</t>
        </is>
      </c>
      <c r="R29" s="52" t="inlineStr">
        <is>
          <t>?</t>
        </is>
      </c>
      <c r="S29" s="52" t="inlineStr">
        <is>
          <t>?</t>
        </is>
      </c>
      <c r="T29" s="64" t="inlineStr">
        <is>
          <t>ваги невідомі</t>
        </is>
      </c>
      <c r="U29" s="64" t="inlineStr">
        <is>
          <t>ваги невідомі</t>
        </is>
      </c>
      <c r="V29" s="59">
        <f>IF('Бали кандидатів'!$B$14&gt;=300,"OK","НЕ ДОПУЩЕНО")</f>
        <v/>
      </c>
      <c r="W29" s="59">
        <f>IF('Бали кандидатів'!$C$14&gt;=300,"OK","НЕ ДОПУЩЕНО")</f>
        <v/>
      </c>
      <c r="X29" s="52" t="inlineStr">
        <is>
          <t>—</t>
        </is>
      </c>
      <c r="Y29" s="55" t="inlineStr">
        <is>
          <t>—</t>
        </is>
      </c>
      <c r="Z29" s="55" t="inlineStr">
        <is>
          <t>ваги не зчитані — уточнити на сторінці пропозиції</t>
        </is>
      </c>
      <c r="AA29" s="60" t="inlineStr">
        <is>
          <t>Складові конкурсного бала у вихідних даних відсутні — відкрити «Детальніше» на сторінці ЗВО</t>
        </is>
      </c>
      <c r="AB29" s="60" t="n"/>
      <c r="AC29" s="52" t="n"/>
      <c r="AD29" s="60" t="n"/>
      <c r="AE29" s="52" t="inlineStr">
        <is>
          <t>https://vstup.osvita.ua/r27/41/entrance.html</t>
        </is>
      </c>
      <c r="AF29" s="60" t="inlineStr">
        <is>
          <t>https://vstup.osvita.ua/r27/41/</t>
        </is>
      </c>
      <c r="AG29" s="60" t="n"/>
      <c r="AH29" s="60" t="n"/>
      <c r="AI29" s="52" t="n"/>
      <c r="AJ29" s="37" t="inlineStr"/>
      <c r="AK29" s="37" t="inlineStr"/>
      <c r="AL29" s="37" t="inlineStr"/>
      <c r="AM29" s="37">
        <f>IF(AJ29="","дані ще не вивантажені",IF('Бали кандидатів'!$B$7&gt;=AJ29,"проходить","НЕ проходить за ЄВВ"))</f>
        <v/>
      </c>
      <c r="AN29" s="37">
        <f>IF(AJ29="","дані ще не вивантажені",IF('Бали кандидатів'!$C$7&gt;=AJ29,"проходить","НЕ проходить за ЄВВ"))</f>
        <v/>
      </c>
    </row>
    <row r="30" ht="15" customHeight="1" s="38">
      <c r="A30" s="51" t="inlineStr">
        <is>
          <t>F3 Комп'ютерні науки</t>
        </is>
      </c>
      <c r="B30" s="52" t="inlineStr">
        <is>
          <t>Житомирський державний університет ім. І. Франка</t>
        </is>
      </c>
      <c r="C30" s="52" t="inlineStr">
        <is>
          <t>Житомир</t>
        </is>
      </c>
      <c r="D30" s="53" t="inlineStr">
        <is>
          <t>Житомирська</t>
        </is>
      </c>
      <c r="E30" s="54" t="inlineStr">
        <is>
          <t>ТАК</t>
        </is>
      </c>
      <c r="F30" s="53" t="inlineStr">
        <is>
          <t>Фіксована</t>
        </is>
      </c>
      <c r="G30" s="55" t="inlineStr">
        <is>
          <t>ні</t>
        </is>
      </c>
      <c r="H30" s="52" t="n"/>
      <c r="I30" s="52" t="inlineStr">
        <is>
          <t>Комп'ютерні науки</t>
        </is>
      </c>
      <c r="J30" s="52" t="inlineStr">
        <is>
          <t>Фізико-математичний</t>
        </is>
      </c>
      <c r="K30" s="52" t="n">
        <v>4</v>
      </c>
      <c r="L30" s="52" t="n">
        <v>7</v>
      </c>
      <c r="M30" s="56">
        <f>IF(K30=0,"н/д",L30/K30)</f>
        <v/>
      </c>
      <c r="N30" s="52" t="inlineStr">
        <is>
          <t>26.08.2026</t>
        </is>
      </c>
      <c r="O30" s="57" t="n">
        <v>0.4</v>
      </c>
      <c r="P30" s="57" t="n">
        <v>0</v>
      </c>
      <c r="Q30" s="57" t="n">
        <v>0.2</v>
      </c>
      <c r="R30" s="52" t="n">
        <v>100</v>
      </c>
      <c r="S30" s="52" t="inlineStr">
        <is>
          <t>—</t>
        </is>
      </c>
      <c r="T30" s="58">
        <f>0.2*'Бали кандидатів'!$B$6+0.2*'Бали кандидатів'!$B$7+O30*'Бали кандидатів'!$B$9+P30*'Бали кандидатів'!$B$10+Q30*'Бали кандидатів'!$B$11</f>
        <v/>
      </c>
      <c r="U30" s="58">
        <f>0.2*'Бали кандидатів'!$C$6+0.2*'Бали кандидатів'!$C$7+O30*'Бали кандидатів'!$C$9+P30*'Бали кандидатів'!$C$10+Q30*'Бали кандидатів'!$C$11</f>
        <v/>
      </c>
      <c r="V30" s="59">
        <f>IF('Бали кандидатів'!$B$14&gt;=300,"OK","НЕ ДОПУЩЕНО")</f>
        <v/>
      </c>
      <c r="W30" s="59">
        <f>IF('Бали кандидатів'!$C$14&gt;=300,"OK","НЕ ДОПУЩЕНО")</f>
        <v/>
      </c>
      <c r="X30" s="52">
        <f>IF(AND(OR(R30="—",'Бали кандидатів'!$B$9&gt;=R30),OR(S30="—",'Бали кандидатів'!$B$10&gt;=S30)),"проходить","НИЖЧЕ мін. балу")</f>
        <v/>
      </c>
      <c r="Y30" s="55">
        <f>IF(AND(OR(R30="—",'Бали кандидатів'!$C$9&gt;=R30),OR(S30="—",'Бали кандидатів'!$C$10&gt;=S30)),"проходить","НИЖЧЕ мін. балу")</f>
        <v/>
      </c>
      <c r="Z30" s="55" t="inlineStr">
        <is>
          <t>Тільки іспит зі спеціальності</t>
        </is>
      </c>
      <c r="AA30" s="60" t="inlineStr">
        <is>
          <t>Окремий іспит з ФІЛОСОФІЇ, вага 0.20, мін. бал 100</t>
        </is>
      </c>
      <c r="AB30" s="60" t="n"/>
      <c r="AC30" s="52" t="n"/>
      <c r="AD30" s="60" t="n"/>
      <c r="AE30" s="52" t="inlineStr">
        <is>
          <t>https://vstup.osvita.ua/r7/109/entrance.html</t>
        </is>
      </c>
      <c r="AF30" s="60" t="inlineStr">
        <is>
          <t>https://vstup.osvita.ua/y2026/r7/109/1645952/</t>
        </is>
      </c>
      <c r="AG30" s="60" t="n"/>
      <c r="AH30" s="60" t="n"/>
      <c r="AI30" s="52" t="n"/>
      <c r="AJ30" s="37" t="inlineStr"/>
      <c r="AK30" s="37" t="inlineStr"/>
      <c r="AL30" s="37" t="inlineStr"/>
      <c r="AM30" s="37">
        <f>IF(AJ30="","дані ще не вивантажені",IF('Бали кандидатів'!$B$7&gt;=AJ30,"проходить","НЕ проходить за ЄВВ"))</f>
        <v/>
      </c>
      <c r="AN30" s="37">
        <f>IF(AJ30="","дані ще не вивантажені",IF('Бали кандидатів'!$C$7&gt;=AJ30,"проходить","НЕ проходить за ЄВВ"))</f>
        <v/>
      </c>
    </row>
    <row r="31" ht="15" customHeight="1" s="38">
      <c r="A31" s="51" t="inlineStr">
        <is>
          <t>F3 Комп'ютерні науки</t>
        </is>
      </c>
      <c r="B31" s="52" t="inlineStr">
        <is>
          <t>Український державний університет науки і технологій</t>
        </is>
      </c>
      <c r="C31" s="52" t="inlineStr">
        <is>
          <t>Дніпро</t>
        </is>
      </c>
      <c r="D31" s="53" t="inlineStr">
        <is>
          <t>Дніпропетровська</t>
        </is>
      </c>
      <c r="E31" s="54" t="inlineStr">
        <is>
          <t>ТАК</t>
        </is>
      </c>
      <c r="F31" s="53" t="inlineStr">
        <is>
          <t>Фіксована</t>
        </is>
      </c>
      <c r="G31" s="55" t="inlineStr">
        <is>
          <t>ні</t>
        </is>
      </c>
      <c r="H31" s="52" t="n"/>
      <c r="I31" s="52" t="inlineStr">
        <is>
          <t>Комп'ютерні науки і технології</t>
        </is>
      </c>
      <c r="J31" s="52" t="inlineStr">
        <is>
          <t>Комп'ютерні технології і системи</t>
        </is>
      </c>
      <c r="K31" s="52" t="n">
        <v>8</v>
      </c>
      <c r="L31" s="61" t="n">
        <v>14</v>
      </c>
      <c r="M31" s="56">
        <f>IF(K31=0,"н/д",L31/K31)</f>
        <v/>
      </c>
      <c r="N31" s="62" t="inlineStr">
        <is>
          <t>25.08.2026 (застаріле)</t>
        </is>
      </c>
      <c r="O31" s="57" t="n">
        <v>0.6</v>
      </c>
      <c r="P31" s="57" t="n">
        <v>0</v>
      </c>
      <c r="Q31" s="57" t="n">
        <v>0</v>
      </c>
      <c r="R31" s="52" t="inlineStr">
        <is>
          <t>—</t>
        </is>
      </c>
      <c r="S31" s="52" t="inlineStr">
        <is>
          <t>—</t>
        </is>
      </c>
      <c r="T31" s="58">
        <f>0.2*'Бали кандидатів'!$B$6+0.2*'Бали кандидатів'!$B$7+O31*'Бали кандидатів'!$B$9+P31*'Бали кандидатів'!$B$10+Q31*'Бали кандидатів'!$B$11</f>
        <v/>
      </c>
      <c r="U31" s="58">
        <f>0.2*'Бали кандидатів'!$C$6+0.2*'Бали кандидатів'!$C$7+O31*'Бали кандидатів'!$C$9+P31*'Бали кандидатів'!$C$10+Q31*'Бали кандидатів'!$C$11</f>
        <v/>
      </c>
      <c r="V31" s="59">
        <f>IF('Бали кандидатів'!$B$14&gt;=300,"OK","НЕ ДОПУЩЕНО")</f>
        <v/>
      </c>
      <c r="W31" s="59">
        <f>IF('Бали кандидатів'!$C$14&gt;=300,"OK","НЕ ДОПУЩЕНО")</f>
        <v/>
      </c>
      <c r="X31" s="52">
        <f>IF(AND(OR(R31="—",'Бали кандидатів'!$B$9&gt;=R31),OR(S31="—",'Бали кандидатів'!$B$10&gt;=S31)),"проходить","НИЖЧЕ мін. балу")</f>
        <v/>
      </c>
      <c r="Y31" s="55">
        <f>IF(AND(OR(R31="—",'Бали кандидатів'!$C$9&gt;=R31),OR(S31="—",'Бали кандидатів'!$C$10&gt;=S31)),"проходить","НИЖЧЕ мін. балу")</f>
        <v/>
      </c>
      <c r="Z31" s="55" t="inlineStr">
        <is>
          <t>Тільки іспит зі спеціальності</t>
        </is>
      </c>
      <c r="AA31" s="60" t="n"/>
      <c r="AB31" s="60" t="n"/>
      <c r="AC31" s="52" t="n"/>
      <c r="AD31" s="60" t="n"/>
      <c r="AE31" s="52" t="inlineStr">
        <is>
          <t>https://vstup.osvita.ua/r5/6507/entrance.html</t>
        </is>
      </c>
      <c r="AF31" s="60" t="inlineStr">
        <is>
          <t>https://vstup.osvita.ua/y2026/r5/6507/1651949/</t>
        </is>
      </c>
      <c r="AG31" s="60" t="n"/>
      <c r="AH31" s="60" t="n"/>
      <c r="AI31" s="52" t="n"/>
      <c r="AJ31" s="37" t="inlineStr"/>
      <c r="AK31" s="37" t="inlineStr"/>
      <c r="AL31" s="37" t="inlineStr"/>
      <c r="AM31" s="37">
        <f>IF(AJ31="","дані ще не вивантажені",IF('Бали кандидатів'!$B$7&gt;=AJ31,"проходить","НЕ проходить за ЄВВ"))</f>
        <v/>
      </c>
      <c r="AN31" s="37">
        <f>IF(AJ31="","дані ще не вивантажені",IF('Бали кандидатів'!$C$7&gt;=AJ31,"проходить","НЕ проходить за ЄВВ"))</f>
        <v/>
      </c>
    </row>
    <row r="32" ht="15" customHeight="1" s="38">
      <c r="A32" s="51" t="inlineStr">
        <is>
          <t>F2 Інженерія ПЗ</t>
        </is>
      </c>
      <c r="B32" s="52" t="inlineStr">
        <is>
          <t>Харківський національний університет радіоелектроніки (ХНУРЕ)</t>
        </is>
      </c>
      <c r="C32" s="52" t="inlineStr">
        <is>
          <t>Харків</t>
        </is>
      </c>
      <c r="D32" s="53" t="inlineStr">
        <is>
          <t>Харківська</t>
        </is>
      </c>
      <c r="E32" s="54" t="inlineStr">
        <is>
          <t>ТАК</t>
        </is>
      </c>
      <c r="F32" s="53" t="inlineStr">
        <is>
          <t>Фіксована</t>
        </is>
      </c>
      <c r="G32" s="55" t="inlineStr">
        <is>
          <t>ні</t>
        </is>
      </c>
      <c r="H32" s="52" t="n"/>
      <c r="I32" s="52" t="inlineStr">
        <is>
          <t>Інженерія програмного забезпечення</t>
        </is>
      </c>
      <c r="J32" s="52" t="n"/>
      <c r="K32" s="52" t="n">
        <v>25</v>
      </c>
      <c r="L32" s="52" t="n">
        <v>45</v>
      </c>
      <c r="M32" s="56">
        <f>IF(K32=0,"н/д",L32/K32)</f>
        <v/>
      </c>
      <c r="N32" s="52" t="inlineStr">
        <is>
          <t>26.08.2026</t>
        </is>
      </c>
      <c r="O32" s="57" t="n">
        <v>0.6</v>
      </c>
      <c r="P32" s="57" t="n">
        <v>0</v>
      </c>
      <c r="Q32" s="57" t="n">
        <v>0</v>
      </c>
      <c r="R32" s="52" t="n">
        <v>100</v>
      </c>
      <c r="S32" s="52" t="inlineStr">
        <is>
          <t>—</t>
        </is>
      </c>
      <c r="T32" s="58">
        <f>0.2*'Бали кандидатів'!$B$6+0.2*'Бали кандидатів'!$B$7+O32*'Бали кандидатів'!$B$9+P32*'Бали кандидатів'!$B$10+Q32*'Бали кандидатів'!$B$11</f>
        <v/>
      </c>
      <c r="U32" s="58">
        <f>0.2*'Бали кандидатів'!$C$6+0.2*'Бали кандидатів'!$C$7+O32*'Бали кандидатів'!$C$9+P32*'Бали кандидатів'!$C$10+Q32*'Бали кандидатів'!$C$11</f>
        <v/>
      </c>
      <c r="V32" s="59">
        <f>IF('Бали кандидатів'!$B$14&gt;=300,"OK","НЕ ДОПУЩЕНО")</f>
        <v/>
      </c>
      <c r="W32" s="59">
        <f>IF('Бали кандидатів'!$C$14&gt;=300,"OK","НЕ ДОПУЩЕНО")</f>
        <v/>
      </c>
      <c r="X32" s="52">
        <f>IF(AND(OR(R32="—",'Бали кандидатів'!$B$9&gt;=R32),OR(S32="—",'Бали кандидатів'!$B$10&gt;=S32)),"проходить","НИЖЧЕ мін. балу")</f>
        <v/>
      </c>
      <c r="Y32" s="55">
        <f>IF(AND(OR(R32="—",'Бали кандидатів'!$C$9&gt;=R32),OR(S32="—",'Бали кандидатів'!$C$10&gt;=S32)),"проходить","НИЖЧЕ мін. балу")</f>
        <v/>
      </c>
      <c r="Z32" s="55" t="inlineStr">
        <is>
          <t>Тільки іспит зі спеціальності</t>
        </is>
      </c>
      <c r="AA32" s="60" t="n"/>
      <c r="AB32" s="60" t="n"/>
      <c r="AC32" s="52" t="n"/>
      <c r="AD32" s="60" t="n"/>
      <c r="AE32" s="52" t="inlineStr">
        <is>
          <t>https://vstup.osvita.ua/r21/92/entrance.html</t>
        </is>
      </c>
      <c r="AF32" s="60" t="inlineStr">
        <is>
          <t>https://vstup.osvita.ua/y2026/r21/92/1653762/</t>
        </is>
      </c>
      <c r="AG32" s="60" t="n"/>
      <c r="AH32" s="60" t="n"/>
      <c r="AI32" s="52" t="n"/>
      <c r="AJ32" s="37" t="inlineStr"/>
      <c r="AK32" s="37" t="inlineStr"/>
      <c r="AL32" s="37" t="inlineStr"/>
      <c r="AM32" s="37">
        <f>IF(AJ32="","дані ще не вивантажені",IF('Бали кандидатів'!$B$7&gt;=AJ32,"проходить","НЕ проходить за ЄВВ"))</f>
        <v/>
      </c>
      <c r="AN32" s="37">
        <f>IF(AJ32="","дані ще не вивантажені",IF('Бали кандидатів'!$C$7&gt;=AJ32,"проходить","НЕ проходить за ЄВВ"))</f>
        <v/>
      </c>
    </row>
    <row r="33" ht="15" customHeight="1" s="38">
      <c r="A33" s="51" t="inlineStr">
        <is>
          <t>F3 Комп'ютерні науки</t>
        </is>
      </c>
      <c r="B33" s="52" t="inlineStr">
        <is>
          <t>Харківський НУ міського господарства ім. О. М. Бекетова</t>
        </is>
      </c>
      <c r="C33" s="52" t="inlineStr">
        <is>
          <t>Харків</t>
        </is>
      </c>
      <c r="D33" s="53" t="inlineStr">
        <is>
          <t>Харківська</t>
        </is>
      </c>
      <c r="E33" s="54" t="inlineStr">
        <is>
          <t>ТАК</t>
        </is>
      </c>
      <c r="F33" s="53" t="inlineStr">
        <is>
          <t>Фіксована</t>
        </is>
      </c>
      <c r="G33" s="55" t="inlineStr">
        <is>
          <t>ні</t>
        </is>
      </c>
      <c r="H33" s="52" t="n"/>
      <c r="I33" s="52" t="inlineStr">
        <is>
          <t>Комп'ютерні науки</t>
        </is>
      </c>
      <c r="J33" s="52" t="inlineStr">
        <is>
          <t>ННІ підготовки кадрів вищої кваліфікації</t>
        </is>
      </c>
      <c r="K33" s="52" t="n">
        <v>6</v>
      </c>
      <c r="L33" s="52" t="n">
        <v>11</v>
      </c>
      <c r="M33" s="56">
        <f>IF(K33=0,"н/д",L33/K33)</f>
        <v/>
      </c>
      <c r="N33" s="52" t="inlineStr">
        <is>
          <t>26.08.2026</t>
        </is>
      </c>
      <c r="O33" s="57" t="n">
        <v>0.4</v>
      </c>
      <c r="P33" s="57" t="n">
        <v>0.2</v>
      </c>
      <c r="Q33" s="57" t="n">
        <v>0</v>
      </c>
      <c r="R33" s="52" t="inlineStr">
        <is>
          <t>—</t>
        </is>
      </c>
      <c r="S33" s="52" t="inlineStr">
        <is>
          <t>—</t>
        </is>
      </c>
      <c r="T33" s="58">
        <f>0.2*'Бали кандидатів'!$B$6+0.2*'Бали кандидатів'!$B$7+O33*'Бали кандидатів'!$B$9+P33*'Бали кандидатів'!$B$10+Q33*'Бали кандидатів'!$B$11</f>
        <v/>
      </c>
      <c r="U33" s="58">
        <f>0.2*'Бали кандидатів'!$C$6+0.2*'Бали кандидатів'!$C$7+O33*'Бали кандидатів'!$C$9+P33*'Бали кандидатів'!$C$10+Q33*'Бали кандидатів'!$C$11</f>
        <v/>
      </c>
      <c r="V33" s="59">
        <f>IF('Бали кандидатів'!$B$14&gt;=300,"OK","НЕ ДОПУЩЕНО")</f>
        <v/>
      </c>
      <c r="W33" s="59">
        <f>IF('Бали кандидатів'!$C$14&gt;=300,"OK","НЕ ДОПУЩЕНО")</f>
        <v/>
      </c>
      <c r="X33" s="52">
        <f>IF(AND(OR(R33="—",'Бали кандидатів'!$B$9&gt;=R33),OR(S33="—",'Бали кандидатів'!$B$10&gt;=S33)),"проходить","НИЖЧЕ мін. балу")</f>
        <v/>
      </c>
      <c r="Y33" s="55">
        <f>IF(AND(OR(R33="—",'Бали кандидатів'!$C$9&gt;=R33),OR(S33="—",'Бали кандидатів'!$C$10&gt;=S33)),"проходить","НИЖЧЕ мін. балу")</f>
        <v/>
      </c>
      <c r="Z33" s="55" t="inlineStr">
        <is>
          <t>Іспит + дослідницька пропозиція</t>
        </is>
      </c>
      <c r="AA33" s="60" t="n"/>
      <c r="AB33" s="60" t="n"/>
      <c r="AC33" s="52" t="n"/>
      <c r="AD33" s="60" t="n"/>
      <c r="AE33" s="52" t="inlineStr">
        <is>
          <t>https://vstup.osvita.ua/r21/316/entrance.html</t>
        </is>
      </c>
      <c r="AF33" s="60" t="inlineStr">
        <is>
          <t>https://vstup.osvita.ua/y2026/r21/316/1649777/</t>
        </is>
      </c>
      <c r="AG33" s="60" t="n"/>
      <c r="AH33" s="60" t="n"/>
      <c r="AI33" s="52" t="n"/>
      <c r="AJ33" s="37" t="inlineStr"/>
      <c r="AK33" s="37" t="inlineStr"/>
      <c r="AL33" s="37" t="inlineStr"/>
      <c r="AM33" s="37">
        <f>IF(AJ33="","дані ще не вивантажені",IF('Бали кандидатів'!$B$7&gt;=AJ33,"проходить","НЕ проходить за ЄВВ"))</f>
        <v/>
      </c>
      <c r="AN33" s="37">
        <f>IF(AJ33="","дані ще не вивантажені",IF('Бали кандидатів'!$C$7&gt;=AJ33,"проходить","НЕ проходить за ЄВВ"))</f>
        <v/>
      </c>
    </row>
    <row r="34" ht="26.85" customHeight="1" s="38">
      <c r="A34" s="51" t="inlineStr">
        <is>
          <t>F4 Системний аналіз</t>
        </is>
      </c>
      <c r="B34" s="52" t="inlineStr">
        <is>
          <t>КПІ ім. Ігоря Сікорського</t>
        </is>
      </c>
      <c r="C34" s="52" t="inlineStr">
        <is>
          <t>Київ</t>
        </is>
      </c>
      <c r="D34" s="53" t="inlineStr">
        <is>
          <t>Київ</t>
        </is>
      </c>
      <c r="E34" s="54" t="inlineStr">
        <is>
          <t>ТАК</t>
        </is>
      </c>
      <c r="F34" s="53" t="inlineStr">
        <is>
          <t>Фіксована</t>
        </is>
      </c>
      <c r="G34" s="55" t="inlineStr">
        <is>
          <t>ні</t>
        </is>
      </c>
      <c r="H34" s="52" t="n"/>
      <c r="I34" s="52" t="inlineStr">
        <is>
          <t>Системний аналіз</t>
        </is>
      </c>
      <c r="J34" s="52" t="inlineStr">
        <is>
          <t>ННІ прикладного системного аналізу</t>
        </is>
      </c>
      <c r="K34" s="52" t="n">
        <v>13</v>
      </c>
      <c r="L34" s="52" t="n">
        <v>24</v>
      </c>
      <c r="M34" s="56">
        <f>IF(K34=0,"н/д",L34/K34)</f>
        <v/>
      </c>
      <c r="N34" s="52" t="inlineStr">
        <is>
          <t>26.08.2026</t>
        </is>
      </c>
      <c r="O34" s="63" t="inlineStr">
        <is>
          <t>?</t>
        </is>
      </c>
      <c r="P34" s="63" t="inlineStr">
        <is>
          <t>?</t>
        </is>
      </c>
      <c r="Q34" s="63" t="inlineStr">
        <is>
          <t>?</t>
        </is>
      </c>
      <c r="R34" s="52" t="inlineStr">
        <is>
          <t>?</t>
        </is>
      </c>
      <c r="S34" s="52" t="inlineStr">
        <is>
          <t>?</t>
        </is>
      </c>
      <c r="T34" s="64" t="inlineStr">
        <is>
          <t>ваги невідомі</t>
        </is>
      </c>
      <c r="U34" s="64" t="inlineStr">
        <is>
          <t>ваги невідомі</t>
        </is>
      </c>
      <c r="V34" s="59">
        <f>IF('Бали кандидатів'!$B$14&gt;=300,"OK","НЕ ДОПУЩЕНО")</f>
        <v/>
      </c>
      <c r="W34" s="59">
        <f>IF('Бали кандидатів'!$C$14&gt;=300,"OK","НЕ ДОПУЩЕНО")</f>
        <v/>
      </c>
      <c r="X34" s="52" t="inlineStr">
        <is>
          <t>—</t>
        </is>
      </c>
      <c r="Y34" s="55" t="inlineStr">
        <is>
          <t>—</t>
        </is>
      </c>
      <c r="Z34" s="55" t="inlineStr">
        <is>
          <t>ваги не зчитані — уточнити на сторінці пропозиції</t>
        </is>
      </c>
      <c r="AA34" s="60" t="inlineStr">
        <is>
          <t>Складові конкурсного бала у вихідних даних відсутні — відкрити «Детальніше» на сторінці ЗВО</t>
        </is>
      </c>
      <c r="AB34" s="60" t="n"/>
      <c r="AC34" s="52" t="n"/>
      <c r="AD34" s="60" t="n"/>
      <c r="AE34" s="52" t="inlineStr">
        <is>
          <t>https://vstup.osvita.ua/r27/174/entrance.html</t>
        </is>
      </c>
      <c r="AF34" s="60" t="inlineStr">
        <is>
          <t>https://vstup.osvita.ua/r27/174/</t>
        </is>
      </c>
      <c r="AG34" s="60" t="n"/>
      <c r="AH34" s="60" t="n"/>
      <c r="AI34" s="52" t="n"/>
      <c r="AJ34" s="37" t="inlineStr"/>
      <c r="AK34" s="37" t="inlineStr"/>
      <c r="AL34" s="37" t="inlineStr"/>
      <c r="AM34" s="37">
        <f>IF(AJ34="","дані ще не вивантажені",IF('Бали кандидатів'!$B$7&gt;=AJ34,"проходить","НЕ проходить за ЄВВ"))</f>
        <v/>
      </c>
      <c r="AN34" s="37">
        <f>IF(AJ34="","дані ще не вивантажені",IF('Бали кандидатів'!$C$7&gt;=AJ34,"проходить","НЕ проходить за ЄВВ"))</f>
        <v/>
      </c>
    </row>
    <row r="35" ht="15" customHeight="1" s="38">
      <c r="A35" s="51" t="inlineStr">
        <is>
          <t>F3 Комп'ютерні науки</t>
        </is>
      </c>
      <c r="B35" s="52" t="inlineStr">
        <is>
          <t>Український державний університет науки і технологій</t>
        </is>
      </c>
      <c r="C35" s="52" t="inlineStr">
        <is>
          <t>Дніпро</t>
        </is>
      </c>
      <c r="D35" s="53" t="inlineStr">
        <is>
          <t>Дніпропетровська</t>
        </is>
      </c>
      <c r="E35" s="54" t="inlineStr">
        <is>
          <t>ТАК</t>
        </is>
      </c>
      <c r="F35" s="53" t="inlineStr">
        <is>
          <t>Фіксована</t>
        </is>
      </c>
      <c r="G35" s="55" t="inlineStr">
        <is>
          <t>ні</t>
        </is>
      </c>
      <c r="H35" s="52" t="n"/>
      <c r="I35" s="52" t="inlineStr">
        <is>
          <t>Комп'ютерні науки і технології</t>
        </is>
      </c>
      <c r="J35" s="52" t="n"/>
      <c r="K35" s="52" t="n">
        <v>7</v>
      </c>
      <c r="L35" s="61" t="n">
        <v>13</v>
      </c>
      <c r="M35" s="56">
        <f>IF(K35=0,"н/д",L35/K35)</f>
        <v/>
      </c>
      <c r="N35" s="62" t="inlineStr">
        <is>
          <t>25.08.2026 (застаріле)</t>
        </is>
      </c>
      <c r="O35" s="57" t="n">
        <v>0.6</v>
      </c>
      <c r="P35" s="57" t="n">
        <v>0</v>
      </c>
      <c r="Q35" s="57" t="n">
        <v>0</v>
      </c>
      <c r="R35" s="52" t="inlineStr">
        <is>
          <t>—</t>
        </is>
      </c>
      <c r="S35" s="52" t="inlineStr">
        <is>
          <t>—</t>
        </is>
      </c>
      <c r="T35" s="58">
        <f>0.2*'Бали кандидатів'!$B$6+0.2*'Бали кандидатів'!$B$7+O35*'Бали кандидатів'!$B$9+P35*'Бали кандидатів'!$B$10+Q35*'Бали кандидатів'!$B$11</f>
        <v/>
      </c>
      <c r="U35" s="58">
        <f>0.2*'Бали кандидатів'!$C$6+0.2*'Бали кандидатів'!$C$7+O35*'Бали кандидатів'!$C$9+P35*'Бали кандидатів'!$C$10+Q35*'Бали кандидатів'!$C$11</f>
        <v/>
      </c>
      <c r="V35" s="59">
        <f>IF('Бали кандидатів'!$B$14&gt;=300,"OK","НЕ ДОПУЩЕНО")</f>
        <v/>
      </c>
      <c r="W35" s="59">
        <f>IF('Бали кандидатів'!$C$14&gt;=300,"OK","НЕ ДОПУЩЕНО")</f>
        <v/>
      </c>
      <c r="X35" s="52">
        <f>IF(AND(OR(R35="—",'Бали кандидатів'!$B$9&gt;=R35),OR(S35="—",'Бали кандидатів'!$B$10&gt;=S35)),"проходить","НИЖЧЕ мін. балу")</f>
        <v/>
      </c>
      <c r="Y35" s="55">
        <f>IF(AND(OR(R35="—",'Бали кандидатів'!$C$9&gt;=R35),OR(S35="—",'Бали кандидатів'!$C$10&gt;=S35)),"проходить","НИЖЧЕ мін. балу")</f>
        <v/>
      </c>
      <c r="Z35" s="55" t="inlineStr">
        <is>
          <t>Тільки іспит зі спеціальності</t>
        </is>
      </c>
      <c r="AA35" s="60" t="n"/>
      <c r="AB35" s="60" t="n"/>
      <c r="AC35" s="52" t="n"/>
      <c r="AD35" s="60" t="n"/>
      <c r="AE35" s="52" t="inlineStr">
        <is>
          <t>https://vstup.osvita.ua/r5/6507/entrance.html</t>
        </is>
      </c>
      <c r="AF35" s="60" t="inlineStr">
        <is>
          <t>https://vstup.osvita.ua/y2026/r5/6507/1653142/</t>
        </is>
      </c>
      <c r="AG35" s="60" t="n"/>
      <c r="AH35" s="60" t="n"/>
      <c r="AI35" s="52" t="n"/>
      <c r="AJ35" s="37" t="inlineStr"/>
      <c r="AK35" s="37" t="inlineStr"/>
      <c r="AL35" s="37" t="inlineStr"/>
      <c r="AM35" s="37">
        <f>IF(AJ35="","дані ще не вивантажені",IF('Бали кандидатів'!$B$7&gt;=AJ35,"проходить","НЕ проходить за ЄВВ"))</f>
        <v/>
      </c>
      <c r="AN35" s="37">
        <f>IF(AJ35="","дані ще не вивантажені",IF('Бали кандидатів'!$C$7&gt;=AJ35,"проходить","НЕ проходить за ЄВВ"))</f>
        <v/>
      </c>
    </row>
    <row r="36" ht="15" customHeight="1" s="38">
      <c r="A36" s="51" t="inlineStr">
        <is>
          <t>F3 Комп'ютерні науки</t>
        </is>
      </c>
      <c r="B36" s="52" t="inlineStr">
        <is>
          <t>Державний університет «Житомирська політехніка»</t>
        </is>
      </c>
      <c r="C36" s="52" t="inlineStr">
        <is>
          <t>Житомир</t>
        </is>
      </c>
      <c r="D36" s="53" t="inlineStr">
        <is>
          <t>Житомирська</t>
        </is>
      </c>
      <c r="E36" s="54" t="inlineStr">
        <is>
          <t>ТАК</t>
        </is>
      </c>
      <c r="F36" s="53" t="inlineStr">
        <is>
          <t>Фіксована</t>
        </is>
      </c>
      <c r="G36" s="55" t="inlineStr">
        <is>
          <t>ні</t>
        </is>
      </c>
      <c r="H36" s="52" t="n"/>
      <c r="I36" s="52" t="inlineStr">
        <is>
          <t>Комп'ютерні науки</t>
        </is>
      </c>
      <c r="J36" s="52" t="inlineStr">
        <is>
          <t>Інформаційно-комп'ютерних технологій</t>
        </is>
      </c>
      <c r="K36" s="52" t="n">
        <v>5</v>
      </c>
      <c r="L36" s="52" t="n">
        <v>10</v>
      </c>
      <c r="M36" s="56">
        <f>IF(K36=0,"н/д",L36/K36)</f>
        <v/>
      </c>
      <c r="N36" s="52" t="inlineStr">
        <is>
          <t>26.08.2026</t>
        </is>
      </c>
      <c r="O36" s="57" t="n">
        <v>0.6</v>
      </c>
      <c r="P36" s="57" t="n">
        <v>0</v>
      </c>
      <c r="Q36" s="57" t="n">
        <v>0</v>
      </c>
      <c r="R36" s="52" t="n">
        <v>100</v>
      </c>
      <c r="S36" s="52" t="inlineStr">
        <is>
          <t>—</t>
        </is>
      </c>
      <c r="T36" s="58">
        <f>0.2*'Бали кандидатів'!$B$6+0.2*'Бали кандидатів'!$B$7+O36*'Бали кандидатів'!$B$9+P36*'Бали кандидатів'!$B$10+Q36*'Бали кандидатів'!$B$11</f>
        <v/>
      </c>
      <c r="U36" s="58">
        <f>0.2*'Бали кандидатів'!$C$6+0.2*'Бали кандидатів'!$C$7+O36*'Бали кандидатів'!$C$9+P36*'Бали кандидатів'!$C$10+Q36*'Бали кандидатів'!$C$11</f>
        <v/>
      </c>
      <c r="V36" s="59">
        <f>IF('Бали кандидатів'!$B$14&gt;=300,"OK","НЕ ДОПУЩЕНО")</f>
        <v/>
      </c>
      <c r="W36" s="59">
        <f>IF('Бали кандидатів'!$C$14&gt;=300,"OK","НЕ ДОПУЩЕНО")</f>
        <v/>
      </c>
      <c r="X36" s="52">
        <f>IF(AND(OR(R36="—",'Бали кандидатів'!$B$9&gt;=R36),OR(S36="—",'Бали кандидатів'!$B$10&gt;=S36)),"проходить","НИЖЧЕ мін. балу")</f>
        <v/>
      </c>
      <c r="Y36" s="55">
        <f>IF(AND(OR(R36="—",'Бали кандидатів'!$C$9&gt;=R36),OR(S36="—",'Бали кандидатів'!$C$10&gt;=S36)),"проходить","НИЖЧЕ мін. балу")</f>
        <v/>
      </c>
      <c r="Z36" s="55" t="inlineStr">
        <is>
          <t>Тільки іспит зі спеціальності</t>
        </is>
      </c>
      <c r="AA36" s="60" t="inlineStr">
        <is>
          <t>Додаткова співбесіда для вступників з іншої спеціальності (вага 0)</t>
        </is>
      </c>
      <c r="AB36" s="60" t="n"/>
      <c r="AC36" s="52" t="n"/>
      <c r="AD36" s="60" t="n"/>
      <c r="AE36" s="52" t="inlineStr">
        <is>
          <t>https://vstup.osvita.ua/r7/208/entrance.html</t>
        </is>
      </c>
      <c r="AF36" s="60" t="inlineStr">
        <is>
          <t>https://vstup.osvita.ua/y2026/r7/208/1653169/</t>
        </is>
      </c>
      <c r="AG36" s="60" t="n"/>
      <c r="AH36" s="60" t="n"/>
      <c r="AI36" s="52" t="n"/>
      <c r="AJ36" s="37" t="inlineStr"/>
      <c r="AK36" s="37" t="inlineStr"/>
      <c r="AL36" s="37" t="inlineStr"/>
      <c r="AM36" s="37">
        <f>IF(AJ36="","дані ще не вивантажені",IF('Бали кандидатів'!$B$7&gt;=AJ36,"проходить","НЕ проходить за ЄВВ"))</f>
        <v/>
      </c>
      <c r="AN36" s="37">
        <f>IF(AJ36="","дані ще не вивантажені",IF('Бали кандидатів'!$C$7&gt;=AJ36,"проходить","НЕ проходить за ЄВВ"))</f>
        <v/>
      </c>
    </row>
    <row r="37" ht="15" customHeight="1" s="38">
      <c r="A37" s="51" t="inlineStr">
        <is>
          <t>F3 Комп'ютерні науки</t>
        </is>
      </c>
      <c r="B37" s="52" t="inlineStr">
        <is>
          <t>Інститут телекомунікацій і глобального інформаційного простору НАНУ</t>
        </is>
      </c>
      <c r="C37" s="52" t="inlineStr">
        <is>
          <t>Київ</t>
        </is>
      </c>
      <c r="D37" s="53" t="inlineStr">
        <is>
          <t>Київ</t>
        </is>
      </c>
      <c r="E37" s="54" t="inlineStr">
        <is>
          <t>ТАК</t>
        </is>
      </c>
      <c r="F37" s="53" t="inlineStr">
        <is>
          <t>Фіксована</t>
        </is>
      </c>
      <c r="G37" s="55" t="inlineStr">
        <is>
          <t>ні</t>
        </is>
      </c>
      <c r="H37" s="52" t="n"/>
      <c r="I37" s="52" t="inlineStr">
        <is>
          <t>Інформаційні технології</t>
        </is>
      </c>
      <c r="J37" s="52" t="n"/>
      <c r="K37" s="52" t="n">
        <v>4</v>
      </c>
      <c r="L37" s="52" t="n">
        <v>8</v>
      </c>
      <c r="M37" s="56">
        <f>IF(K37=0,"н/д",L37/K37)</f>
        <v/>
      </c>
      <c r="N37" s="52" t="inlineStr">
        <is>
          <t>26.08.2026</t>
        </is>
      </c>
      <c r="O37" s="57" t="n">
        <v>0.6</v>
      </c>
      <c r="P37" s="57" t="n">
        <v>0</v>
      </c>
      <c r="Q37" s="57" t="n">
        <v>0</v>
      </c>
      <c r="R37" s="52" t="inlineStr">
        <is>
          <t>—</t>
        </is>
      </c>
      <c r="S37" s="52" t="inlineStr">
        <is>
          <t>—</t>
        </is>
      </c>
      <c r="T37" s="58">
        <f>0.2*'Бали кандидатів'!$B$6+0.2*'Бали кандидатів'!$B$7+O37*'Бали кандидатів'!$B$9+P37*'Бали кандидатів'!$B$10+Q37*'Бали кандидатів'!$B$11</f>
        <v/>
      </c>
      <c r="U37" s="58">
        <f>0.2*'Бали кандидатів'!$C$6+0.2*'Бали кандидатів'!$C$7+O37*'Бали кандидатів'!$C$9+P37*'Бали кандидатів'!$C$10+Q37*'Бали кандидатів'!$C$11</f>
        <v/>
      </c>
      <c r="V37" s="59">
        <f>IF('Бали кандидатів'!$B$14&gt;=300,"OK","НЕ ДОПУЩЕНО")</f>
        <v/>
      </c>
      <c r="W37" s="59">
        <f>IF('Бали кандидатів'!$C$14&gt;=300,"OK","НЕ ДОПУЩЕНО")</f>
        <v/>
      </c>
      <c r="X37" s="52">
        <f>IF(AND(OR(R37="—",'Бали кандидатів'!$B$9&gt;=R37),OR(S37="—",'Бали кандидатів'!$B$10&gt;=S37)),"проходить","НИЖЧЕ мін. балу")</f>
        <v/>
      </c>
      <c r="Y37" s="55">
        <f>IF(AND(OR(R37="—",'Бали кандидатів'!$C$9&gt;=R37),OR(S37="—",'Бали кандидатів'!$C$10&gt;=S37)),"проходить","НИЖЧЕ мін. балу")</f>
        <v/>
      </c>
      <c r="Z37" s="55" t="inlineStr">
        <is>
          <t>Тільки іспит зі спеціальності</t>
        </is>
      </c>
      <c r="AA37" s="60" t="n"/>
      <c r="AB37" s="60" t="n"/>
      <c r="AC37" s="52" t="n"/>
      <c r="AD37" s="60" t="n"/>
      <c r="AE37" s="52" t="inlineStr">
        <is>
          <t>https://vstup.osvita.ua/r27/3626/entrance.html</t>
        </is>
      </c>
      <c r="AF37" s="60" t="inlineStr">
        <is>
          <t>https://vstup.osvita.ua/y2026/r27/3626/1667883/</t>
        </is>
      </c>
      <c r="AG37" s="60" t="n"/>
      <c r="AH37" s="60" t="n"/>
      <c r="AI37" s="52" t="n"/>
      <c r="AJ37" s="37" t="inlineStr"/>
      <c r="AK37" s="37" t="inlineStr"/>
      <c r="AL37" s="37" t="inlineStr"/>
      <c r="AM37" s="37">
        <f>IF(AJ37="","дані ще не вивантажені",IF('Бали кандидатів'!$B$7&gt;=AJ37,"проходить","НЕ проходить за ЄВВ"))</f>
        <v/>
      </c>
      <c r="AN37" s="37">
        <f>IF(AJ37="","дані ще не вивантажені",IF('Бали кандидатів'!$C$7&gt;=AJ37,"проходить","НЕ проходить за ЄВВ"))</f>
        <v/>
      </c>
    </row>
    <row r="38" ht="26.85" customHeight="1" s="38">
      <c r="A38" s="51" t="inlineStr">
        <is>
          <t>F3 Комп'ютерні науки</t>
        </is>
      </c>
      <c r="B38" s="52" t="inlineStr">
        <is>
          <t>Інститут інформаційних технологій та систем НАНУ</t>
        </is>
      </c>
      <c r="C38" s="52" t="inlineStr">
        <is>
          <t>Київ</t>
        </is>
      </c>
      <c r="D38" s="53" t="inlineStr">
        <is>
          <t>Київ</t>
        </is>
      </c>
      <c r="E38" s="54" t="inlineStr">
        <is>
          <t>ТАК</t>
        </is>
      </c>
      <c r="F38" s="53" t="inlineStr">
        <is>
          <t>Фіксована</t>
        </is>
      </c>
      <c r="G38" s="55" t="inlineStr">
        <is>
          <t>ні</t>
        </is>
      </c>
      <c r="H38" s="52" t="n"/>
      <c r="I38" s="52" t="inlineStr">
        <is>
          <t>Інтелектуальні методи та засоби комп'ютерних наук</t>
        </is>
      </c>
      <c r="J38" s="52" t="n"/>
      <c r="K38" s="52" t="n">
        <v>6</v>
      </c>
      <c r="L38" s="52" t="n">
        <v>12</v>
      </c>
      <c r="M38" s="56">
        <f>IF(K38=0,"н/д",L38/K38)</f>
        <v/>
      </c>
      <c r="N38" s="52" t="inlineStr">
        <is>
          <t>26.08.2026</t>
        </is>
      </c>
      <c r="O38" s="57" t="n">
        <v>0.3</v>
      </c>
      <c r="P38" s="57" t="n">
        <v>0.3</v>
      </c>
      <c r="Q38" s="57" t="n">
        <v>0</v>
      </c>
      <c r="R38" s="52" t="n">
        <v>150</v>
      </c>
      <c r="S38" s="52" t="n">
        <v>120</v>
      </c>
      <c r="T38" s="58">
        <f>0.2*'Бали кандидатів'!$B$6+0.2*'Бали кандидатів'!$B$7+O38*'Бали кандидатів'!$B$9+P38*'Бали кандидатів'!$B$10+Q38*'Бали кандидатів'!$B$11</f>
        <v/>
      </c>
      <c r="U38" s="58">
        <f>0.2*'Бали кандидатів'!$C$6+0.2*'Бали кандидатів'!$C$7+O38*'Бали кандидатів'!$C$9+P38*'Бали кандидатів'!$C$10+Q38*'Бали кандидатів'!$C$11</f>
        <v/>
      </c>
      <c r="V38" s="59">
        <f>IF('Бали кандидатів'!$B$14&gt;=300,"OK","НЕ ДОПУЩЕНО")</f>
        <v/>
      </c>
      <c r="W38" s="59">
        <f>IF('Бали кандидатів'!$C$14&gt;=300,"OK","НЕ ДОПУЩЕНО")</f>
        <v/>
      </c>
      <c r="X38" s="52">
        <f>IF(AND(OR(R38="—",'Бали кандидатів'!$B$9&gt;=R38),OR(S38="—",'Бали кандидатів'!$B$10&gt;=S38)),"проходить","НИЖЧЕ мін. балу")</f>
        <v/>
      </c>
      <c r="Y38" s="55">
        <f>IF(AND(OR(R38="—",'Бали кандидатів'!$C$9&gt;=R38),OR(S38="—",'Бали кандидатів'!$C$10&gt;=S38)),"проходить","НИЖЧЕ мін. балу")</f>
        <v/>
      </c>
      <c r="Z38" s="55" t="inlineStr">
        <is>
          <t>Дослідницька пропозиція важить більше або нарівні з іспитом</t>
        </is>
      </c>
      <c r="AA38" s="60" t="inlineStr">
        <is>
          <t>Презентація оформлена як співбесіда: оцінювання дослідницької пропозиції ТА досвіду роботи; ЄВІ-іноземна і ТЗНК з мін. балом 150</t>
        </is>
      </c>
      <c r="AB38" s="60" t="n"/>
      <c r="AC38" s="52" t="n"/>
      <c r="AD38" s="60" t="n"/>
      <c r="AE38" s="52" t="inlineStr">
        <is>
          <t>https://vstup.osvita.ua/r27/3746/entrance.html</t>
        </is>
      </c>
      <c r="AF38" s="60" t="inlineStr">
        <is>
          <t>https://vstup.osvita.ua/y2026/r27/3746/1650228/</t>
        </is>
      </c>
      <c r="AG38" s="60" t="n"/>
      <c r="AH38" s="60" t="n"/>
      <c r="AI38" s="52" t="n"/>
      <c r="AJ38" s="37" t="inlineStr"/>
      <c r="AK38" s="37" t="inlineStr"/>
      <c r="AL38" s="37" t="inlineStr"/>
      <c r="AM38" s="37">
        <f>IF(AJ38="","дані ще не вивантажені",IF('Бали кандидатів'!$B$7&gt;=AJ38,"проходить","НЕ проходить за ЄВВ"))</f>
        <v/>
      </c>
      <c r="AN38" s="37">
        <f>IF(AJ38="","дані ще не вивантажені",IF('Бали кандидатів'!$C$7&gt;=AJ38,"проходить","НЕ проходить за ЄВВ"))</f>
        <v/>
      </c>
    </row>
    <row r="39" ht="15" customHeight="1" s="38">
      <c r="A39" s="51" t="inlineStr">
        <is>
          <t>F2 Інженерія ПЗ</t>
        </is>
      </c>
      <c r="B39" s="52" t="inlineStr">
        <is>
          <t>Державний університет «Житомирська політехніка»</t>
        </is>
      </c>
      <c r="C39" s="52" t="inlineStr">
        <is>
          <t>Житомир</t>
        </is>
      </c>
      <c r="D39" s="53" t="inlineStr">
        <is>
          <t>Житомирська</t>
        </is>
      </c>
      <c r="E39" s="54" t="inlineStr">
        <is>
          <t>ТАК</t>
        </is>
      </c>
      <c r="F39" s="53" t="inlineStr">
        <is>
          <t>Фіксована</t>
        </is>
      </c>
      <c r="G39" s="55" t="inlineStr">
        <is>
          <t>ні</t>
        </is>
      </c>
      <c r="H39" s="52" t="n"/>
      <c r="I39" s="52" t="inlineStr">
        <is>
          <t>Інженерія програмного забезпечення</t>
        </is>
      </c>
      <c r="J39" s="52" t="inlineStr">
        <is>
          <t>Інформаційно-комп'ютерних технологій</t>
        </is>
      </c>
      <c r="K39" s="52" t="n">
        <v>5</v>
      </c>
      <c r="L39" s="52" t="n">
        <v>10</v>
      </c>
      <c r="M39" s="56">
        <f>IF(K39=0,"н/д",L39/K39)</f>
        <v/>
      </c>
      <c r="N39" s="52" t="inlineStr">
        <is>
          <t>26.08.2026</t>
        </is>
      </c>
      <c r="O39" s="57" t="n">
        <v>0.6</v>
      </c>
      <c r="P39" s="57" t="n">
        <v>0</v>
      </c>
      <c r="Q39" s="57" t="n">
        <v>0</v>
      </c>
      <c r="R39" s="52" t="n">
        <v>100</v>
      </c>
      <c r="S39" s="52" t="inlineStr">
        <is>
          <t>—</t>
        </is>
      </c>
      <c r="T39" s="58">
        <f>0.2*'Бали кандидатів'!$B$6+0.2*'Бали кандидатів'!$B$7+O39*'Бали кандидатів'!$B$9+P39*'Бали кандидатів'!$B$10+Q39*'Бали кандидатів'!$B$11</f>
        <v/>
      </c>
      <c r="U39" s="58">
        <f>0.2*'Бали кандидатів'!$C$6+0.2*'Бали кандидатів'!$C$7+O39*'Бали кандидатів'!$C$9+P39*'Бали кандидатів'!$C$10+Q39*'Бали кандидатів'!$C$11</f>
        <v/>
      </c>
      <c r="V39" s="59">
        <f>IF('Бали кандидатів'!$B$14&gt;=300,"OK","НЕ ДОПУЩЕНО")</f>
        <v/>
      </c>
      <c r="W39" s="59">
        <f>IF('Бали кандидатів'!$C$14&gt;=300,"OK","НЕ ДОПУЩЕНО")</f>
        <v/>
      </c>
      <c r="X39" s="52">
        <f>IF(AND(OR(R39="—",'Бали кандидатів'!$B$9&gt;=R39),OR(S39="—",'Бали кандидатів'!$B$10&gt;=S39)),"проходить","НИЖЧЕ мін. балу")</f>
        <v/>
      </c>
      <c r="Y39" s="55">
        <f>IF(AND(OR(R39="—",'Бали кандидатів'!$C$9&gt;=R39),OR(S39="—",'Бали кандидатів'!$C$10&gt;=S39)),"проходить","НИЖЧЕ мін. балу")</f>
        <v/>
      </c>
      <c r="Z39" s="55" t="inlineStr">
        <is>
          <t>Тільки іспит зі спеціальності</t>
        </is>
      </c>
      <c r="AA39" s="60" t="inlineStr">
        <is>
          <t>Додаткова співбесіда для вступників з іншої спеціальності (вага 0)</t>
        </is>
      </c>
      <c r="AB39" s="60" t="n"/>
      <c r="AC39" s="52" t="n"/>
      <c r="AD39" s="60" t="n"/>
      <c r="AE39" s="52" t="inlineStr">
        <is>
          <t>https://vstup.osvita.ua/r7/208/entrance.html</t>
        </is>
      </c>
      <c r="AF39" s="60" t="inlineStr">
        <is>
          <t>https://vstup.osvita.ua/y2026/r7/208/1653165/</t>
        </is>
      </c>
      <c r="AG39" s="60" t="n"/>
      <c r="AH39" s="60" t="n"/>
      <c r="AI39" s="52" t="n"/>
      <c r="AJ39" s="37" t="inlineStr"/>
      <c r="AK39" s="37" t="inlineStr"/>
      <c r="AL39" s="37" t="inlineStr"/>
      <c r="AM39" s="37">
        <f>IF(AJ39="","дані ще не вивантажені",IF('Бали кандидатів'!$B$7&gt;=AJ39,"проходить","НЕ проходить за ЄВВ"))</f>
        <v/>
      </c>
      <c r="AN39" s="37">
        <f>IF(AJ39="","дані ще не вивантажені",IF('Бали кандидатів'!$C$7&gt;=AJ39,"проходить","НЕ проходить за ЄВВ"))</f>
        <v/>
      </c>
    </row>
    <row r="40" ht="26.85" customHeight="1" s="38">
      <c r="A40" s="51" t="inlineStr">
        <is>
          <t>F4 Системний аналіз</t>
        </is>
      </c>
      <c r="B40" s="52" t="inlineStr">
        <is>
          <t>НТУ «Дніпровська політехніка»</t>
        </is>
      </c>
      <c r="C40" s="52" t="inlineStr">
        <is>
          <t>Дніпро</t>
        </is>
      </c>
      <c r="D40" s="53" t="inlineStr">
        <is>
          <t>Дніпропетровська</t>
        </is>
      </c>
      <c r="E40" s="54" t="inlineStr">
        <is>
          <t>ТАК</t>
        </is>
      </c>
      <c r="F40" s="53" t="inlineStr">
        <is>
          <t>Фіксована</t>
        </is>
      </c>
      <c r="G40" s="55" t="inlineStr">
        <is>
          <t>ні</t>
        </is>
      </c>
      <c r="H40" s="52" t="n"/>
      <c r="I40" s="52" t="inlineStr">
        <is>
          <t>Системний аналіз</t>
        </is>
      </c>
      <c r="J40" s="52" t="inlineStr">
        <is>
          <t>Аспірантура і докторантура</t>
        </is>
      </c>
      <c r="K40" s="52" t="n">
        <v>3</v>
      </c>
      <c r="L40" s="52" t="n">
        <v>6</v>
      </c>
      <c r="M40" s="56">
        <f>IF(K40=0,"н/д",L40/K40)</f>
        <v/>
      </c>
      <c r="N40" s="52" t="inlineStr">
        <is>
          <t>26.08.2026</t>
        </is>
      </c>
      <c r="O40" s="63" t="inlineStr">
        <is>
          <t>?</t>
        </is>
      </c>
      <c r="P40" s="63" t="inlineStr">
        <is>
          <t>?</t>
        </is>
      </c>
      <c r="Q40" s="63" t="inlineStr">
        <is>
          <t>?</t>
        </is>
      </c>
      <c r="R40" s="52" t="inlineStr">
        <is>
          <t>?</t>
        </is>
      </c>
      <c r="S40" s="52" t="inlineStr">
        <is>
          <t>?</t>
        </is>
      </c>
      <c r="T40" s="64" t="inlineStr">
        <is>
          <t>ваги невідомі</t>
        </is>
      </c>
      <c r="U40" s="64" t="inlineStr">
        <is>
          <t>ваги невідомі</t>
        </is>
      </c>
      <c r="V40" s="59">
        <f>IF('Бали кандидатів'!$B$14&gt;=300,"OK","НЕ ДОПУЩЕНО")</f>
        <v/>
      </c>
      <c r="W40" s="59">
        <f>IF('Бали кандидатів'!$C$14&gt;=300,"OK","НЕ ДОПУЩЕНО")</f>
        <v/>
      </c>
      <c r="X40" s="52" t="inlineStr">
        <is>
          <t>—</t>
        </is>
      </c>
      <c r="Y40" s="55" t="inlineStr">
        <is>
          <t>—</t>
        </is>
      </c>
      <c r="Z40" s="55" t="inlineStr">
        <is>
          <t>ваги не зчитані — уточнити на сторінці пропозиції</t>
        </is>
      </c>
      <c r="AA40" s="60" t="inlineStr">
        <is>
          <t>Складові конкурсного бала у вихідних даних відсутні — відкрити «Детальніше» на сторінці ЗВО</t>
        </is>
      </c>
      <c r="AB40" s="60" t="n"/>
      <c r="AC40" s="52" t="n"/>
      <c r="AD40" s="60" t="n"/>
      <c r="AE40" s="52" t="inlineStr">
        <is>
          <t>https://vstup.osvita.ua/r5/36/entrance.html</t>
        </is>
      </c>
      <c r="AF40" s="60" t="inlineStr">
        <is>
          <t>https://vstup.osvita.ua/r5/36/</t>
        </is>
      </c>
      <c r="AG40" s="60" t="n"/>
      <c r="AH40" s="60" t="n"/>
      <c r="AI40" s="52" t="n"/>
      <c r="AJ40" s="37" t="inlineStr"/>
      <c r="AK40" s="37" t="inlineStr"/>
      <c r="AL40" s="37" t="inlineStr"/>
      <c r="AM40" s="37">
        <f>IF(AJ40="","дані ще не вивантажені",IF('Бали кандидатів'!$B$7&gt;=AJ40,"проходить","НЕ проходить за ЄВВ"))</f>
        <v/>
      </c>
      <c r="AN40" s="37">
        <f>IF(AJ40="","дані ще не вивантажені",IF('Бали кандидатів'!$C$7&gt;=AJ40,"проходить","НЕ проходить за ЄВВ"))</f>
        <v/>
      </c>
    </row>
    <row r="41" ht="15" customHeight="1" s="38">
      <c r="A41" s="51" t="inlineStr">
        <is>
          <t>F2 Інженерія ПЗ</t>
        </is>
      </c>
      <c r="B41" s="52" t="inlineStr">
        <is>
          <t>Київський національний університет ім. Т. Шевченка</t>
        </is>
      </c>
      <c r="C41" s="52" t="inlineStr">
        <is>
          <t>Київ</t>
        </is>
      </c>
      <c r="D41" s="53" t="inlineStr">
        <is>
          <t>Київ</t>
        </is>
      </c>
      <c r="E41" s="54" t="inlineStr">
        <is>
          <t>ТАК</t>
        </is>
      </c>
      <c r="F41" s="53" t="inlineStr">
        <is>
          <t>Фіксована</t>
        </is>
      </c>
      <c r="G41" s="55" t="inlineStr">
        <is>
          <t>ні</t>
        </is>
      </c>
      <c r="H41" s="52" t="n"/>
      <c r="I41" s="52" t="inlineStr">
        <is>
          <t>Математичне та програмне забезпечення автоматизованих і вбудованих систем</t>
        </is>
      </c>
      <c r="J41" s="52" t="inlineStr">
        <is>
          <t>Факультет інформаційних технологій</t>
        </is>
      </c>
      <c r="K41" s="52" t="n">
        <v>7</v>
      </c>
      <c r="L41" s="52" t="n">
        <v>15</v>
      </c>
      <c r="M41" s="56">
        <f>IF(K41=0,"н/д",L41/K41)</f>
        <v/>
      </c>
      <c r="N41" s="52" t="inlineStr">
        <is>
          <t>26.08.2026</t>
        </is>
      </c>
      <c r="O41" s="57" t="n">
        <v>0.6</v>
      </c>
      <c r="P41" s="57" t="n">
        <v>0</v>
      </c>
      <c r="Q41" s="57" t="n">
        <v>0</v>
      </c>
      <c r="R41" s="52" t="n">
        <v>100</v>
      </c>
      <c r="S41" s="52" t="inlineStr">
        <is>
          <t>—</t>
        </is>
      </c>
      <c r="T41" s="58">
        <f>0.2*'Бали кандидатів'!$B$6+0.2*'Бали кандидатів'!$B$7+O41*'Бали кандидатів'!$B$9+P41*'Бали кандидатів'!$B$10+Q41*'Бали кандидатів'!$B$11</f>
        <v/>
      </c>
      <c r="U41" s="58">
        <f>0.2*'Бали кандидатів'!$C$6+0.2*'Бали кандидатів'!$C$7+O41*'Бали кандидатів'!$C$9+P41*'Бали кандидатів'!$C$10+Q41*'Бали кандидатів'!$C$11</f>
        <v/>
      </c>
      <c r="V41" s="59">
        <f>IF('Бали кандидатів'!$B$14&gt;=300,"OK","НЕ ДОПУЩЕНО")</f>
        <v/>
      </c>
      <c r="W41" s="59">
        <f>IF('Бали кандидатів'!$C$14&gt;=300,"OK","НЕ ДОПУЩЕНО")</f>
        <v/>
      </c>
      <c r="X41" s="52">
        <f>IF(AND(OR(R41="—",'Бали кандидатів'!$B$9&gt;=R41),OR(S41="—",'Бали кандидатів'!$B$10&gt;=S41)),"проходить","НИЖЧЕ мін. балу")</f>
        <v/>
      </c>
      <c r="Y41" s="55">
        <f>IF(AND(OR(R41="—",'Бали кандидатів'!$C$9&gt;=R41),OR(S41="—",'Бали кандидатів'!$C$10&gt;=S41)),"проходить","НИЖЧЕ мін. балу")</f>
        <v/>
      </c>
      <c r="Z41" s="55" t="inlineStr">
        <is>
          <t>Тільки іспит зі спеціальності</t>
        </is>
      </c>
      <c r="AA41" s="60" t="n"/>
      <c r="AB41" s="60" t="n"/>
      <c r="AC41" s="52" t="n"/>
      <c r="AD41" s="60" t="n"/>
      <c r="AE41" s="52" t="inlineStr">
        <is>
          <t>https://vstup.osvita.ua/r27/41/entrance.html</t>
        </is>
      </c>
      <c r="AF41" s="60" t="inlineStr">
        <is>
          <t>https://vstup.osvita.ua/y2026/r27/41/1649270/</t>
        </is>
      </c>
      <c r="AG41" s="60" t="n"/>
      <c r="AH41" s="60" t="n"/>
      <c r="AI41" s="52" t="n"/>
      <c r="AJ41" s="37" t="inlineStr"/>
      <c r="AK41" s="37" t="inlineStr"/>
      <c r="AL41" s="37" t="inlineStr"/>
      <c r="AM41" s="37">
        <f>IF(AJ41="","дані ще не вивантажені",IF('Бали кандидатів'!$B$7&gt;=AJ41,"проходить","НЕ проходить за ЄВВ"))</f>
        <v/>
      </c>
      <c r="AN41" s="37">
        <f>IF(AJ41="","дані ще не вивантажені",IF('Бали кандидатів'!$C$7&gt;=AJ41,"проходить","НЕ проходить за ЄВВ"))</f>
        <v/>
      </c>
    </row>
    <row r="42" ht="15" customHeight="1" s="38">
      <c r="A42" s="51" t="inlineStr">
        <is>
          <t>F3 Комп'ютерні науки</t>
        </is>
      </c>
      <c r="B42" s="52" t="inlineStr">
        <is>
          <t>Український державний університет науки і технологій</t>
        </is>
      </c>
      <c r="C42" s="52" t="inlineStr">
        <is>
          <t>Дніпро</t>
        </is>
      </c>
      <c r="D42" s="53" t="inlineStr">
        <is>
          <t>Дніпропетровська</t>
        </is>
      </c>
      <c r="E42" s="54" t="inlineStr">
        <is>
          <t>ТАК</t>
        </is>
      </c>
      <c r="F42" s="53" t="inlineStr">
        <is>
          <t>Фіксована</t>
        </is>
      </c>
      <c r="G42" s="55" t="inlineStr">
        <is>
          <t>ні</t>
        </is>
      </c>
      <c r="H42" s="52" t="n"/>
      <c r="I42" s="52" t="inlineStr">
        <is>
          <t>Комп'ютерні науки і технології</t>
        </is>
      </c>
      <c r="J42" s="52" t="inlineStr">
        <is>
          <t>Прикладних комп'ютерних технологій</t>
        </is>
      </c>
      <c r="K42" s="52" t="n">
        <v>6</v>
      </c>
      <c r="L42" s="61" t="n">
        <v>13</v>
      </c>
      <c r="M42" s="56">
        <f>IF(K42=0,"н/д",L42/K42)</f>
        <v/>
      </c>
      <c r="N42" s="62" t="inlineStr">
        <is>
          <t>25.08.2026 (застаріле)</t>
        </is>
      </c>
      <c r="O42" s="57" t="n">
        <v>0.6</v>
      </c>
      <c r="P42" s="57" t="n">
        <v>0</v>
      </c>
      <c r="Q42" s="57" t="n">
        <v>0</v>
      </c>
      <c r="R42" s="52" t="inlineStr">
        <is>
          <t>—</t>
        </is>
      </c>
      <c r="S42" s="52" t="inlineStr">
        <is>
          <t>—</t>
        </is>
      </c>
      <c r="T42" s="58">
        <f>0.2*'Бали кандидатів'!$B$6+0.2*'Бали кандидатів'!$B$7+O42*'Бали кандидатів'!$B$9+P42*'Бали кандидатів'!$B$10+Q42*'Бали кандидатів'!$B$11</f>
        <v/>
      </c>
      <c r="U42" s="58">
        <f>0.2*'Бали кандидатів'!$C$6+0.2*'Бали кандидатів'!$C$7+O42*'Бали кандидатів'!$C$9+P42*'Бали кандидатів'!$C$10+Q42*'Бали кандидатів'!$C$11</f>
        <v/>
      </c>
      <c r="V42" s="59">
        <f>IF('Бали кандидатів'!$B$14&gt;=300,"OK","НЕ ДОПУЩЕНО")</f>
        <v/>
      </c>
      <c r="W42" s="59">
        <f>IF('Бали кандидатів'!$C$14&gt;=300,"OK","НЕ ДОПУЩЕНО")</f>
        <v/>
      </c>
      <c r="X42" s="52">
        <f>IF(AND(OR(R42="—",'Бали кандидатів'!$B$9&gt;=R42),OR(S42="—",'Бали кандидатів'!$B$10&gt;=S42)),"проходить","НИЖЧЕ мін. балу")</f>
        <v/>
      </c>
      <c r="Y42" s="55">
        <f>IF(AND(OR(R42="—",'Бали кандидатів'!$C$9&gt;=R42),OR(S42="—",'Бали кандидатів'!$C$10&gt;=S42)),"проходить","НИЖЧЕ мін. балу")</f>
        <v/>
      </c>
      <c r="Z42" s="55" t="inlineStr">
        <is>
          <t>Тільки іспит зі спеціальності</t>
        </is>
      </c>
      <c r="AA42" s="60" t="n"/>
      <c r="AB42" s="60" t="n"/>
      <c r="AC42" s="52" t="n"/>
      <c r="AD42" s="60" t="n"/>
      <c r="AE42" s="52" t="inlineStr">
        <is>
          <t>https://vstup.osvita.ua/r5/6507/entrance.html</t>
        </is>
      </c>
      <c r="AF42" s="60" t="inlineStr">
        <is>
          <t>https://vstup.osvita.ua/y2026/r5/6507/1652408/</t>
        </is>
      </c>
      <c r="AG42" s="60" t="n"/>
      <c r="AH42" s="60" t="n"/>
      <c r="AI42" s="52" t="n"/>
      <c r="AJ42" s="37" t="inlineStr"/>
      <c r="AK42" s="37" t="inlineStr"/>
      <c r="AL42" s="37" t="inlineStr"/>
      <c r="AM42" s="37">
        <f>IF(AJ42="","дані ще не вивантажені",IF('Бали кандидатів'!$B$7&gt;=AJ42,"проходить","НЕ проходить за ЄВВ"))</f>
        <v/>
      </c>
      <c r="AN42" s="37">
        <f>IF(AJ42="","дані ще не вивантажені",IF('Бали кандидатів'!$C$7&gt;=AJ42,"проходить","НЕ проходить за ЄВВ"))</f>
        <v/>
      </c>
    </row>
    <row r="43" ht="15" customHeight="1" s="38">
      <c r="A43" s="51" t="inlineStr">
        <is>
          <t>F3 Комп'ютерні науки</t>
        </is>
      </c>
      <c r="B43" s="63" t="inlineStr">
        <is>
          <t>Східноукраїнський національний університет ім. В. Даля</t>
        </is>
      </c>
      <c r="C43" s="52" t="inlineStr">
        <is>
          <t>Київ (переміщений)</t>
        </is>
      </c>
      <c r="D43" s="53" t="inlineStr">
        <is>
          <t>Київ</t>
        </is>
      </c>
      <c r="E43" s="54" t="inlineStr">
        <is>
          <t>ТАК</t>
        </is>
      </c>
      <c r="F43" s="53" t="inlineStr">
        <is>
          <t>Фіксована</t>
        </is>
      </c>
      <c r="G43" s="65" t="inlineStr">
        <is>
          <t>ТАК</t>
        </is>
      </c>
      <c r="H43" s="62" t="inlineStr">
        <is>
          <t>ПЕРЕМІЩЕНИЙ — з Луганська/Сєвєродонецька; у ЄДЕБО зареєстрований у Києві</t>
        </is>
      </c>
      <c r="I43" s="52" t="inlineStr">
        <is>
          <t>Комп'ютерні науки</t>
        </is>
      </c>
      <c r="J43" s="52" t="inlineStr">
        <is>
          <t>Інформаційних технологій та електроніки</t>
        </is>
      </c>
      <c r="K43" s="52" t="n">
        <v>5</v>
      </c>
      <c r="L43" s="52" t="n">
        <v>11</v>
      </c>
      <c r="M43" s="56">
        <f>IF(K43=0,"н/д",L43/K43)</f>
        <v/>
      </c>
      <c r="N43" s="52" t="inlineStr">
        <is>
          <t>26.08.2026</t>
        </is>
      </c>
      <c r="O43" s="57" t="n">
        <v>0.5</v>
      </c>
      <c r="P43" s="57" t="n">
        <v>0.1</v>
      </c>
      <c r="Q43" s="57" t="n">
        <v>0</v>
      </c>
      <c r="R43" s="52" t="n">
        <v>100</v>
      </c>
      <c r="S43" s="52" t="n">
        <v>100</v>
      </c>
      <c r="T43" s="58">
        <f>0.2*'Бали кандидатів'!$B$6+0.2*'Бали кандидатів'!$B$7+O43*'Бали кандидатів'!$B$9+P43*'Бали кандидатів'!$B$10+Q43*'Бали кандидатів'!$B$11</f>
        <v/>
      </c>
      <c r="U43" s="58">
        <f>0.2*'Бали кандидатів'!$C$6+0.2*'Бали кандидатів'!$C$7+O43*'Бали кандидатів'!$C$9+P43*'Бали кандидатів'!$C$10+Q43*'Бали кандидатів'!$C$11</f>
        <v/>
      </c>
      <c r="V43" s="59">
        <f>IF('Бали кандидатів'!$B$14&gt;=300,"OK","НЕ ДОПУЩЕНО")</f>
        <v/>
      </c>
      <c r="W43" s="59">
        <f>IF('Бали кандидатів'!$C$14&gt;=300,"OK","НЕ ДОПУЩЕНО")</f>
        <v/>
      </c>
      <c r="X43" s="52">
        <f>IF(AND(OR(R43="—",'Бали кандидатів'!$B$9&gt;=R43),OR(S43="—",'Бали кандидатів'!$B$10&gt;=S43)),"проходить","НИЖЧЕ мін. балу")</f>
        <v/>
      </c>
      <c r="Y43" s="55">
        <f>IF(AND(OR(R43="—",'Бали кандидатів'!$C$9&gt;=R43),OR(S43="—",'Бали кандидатів'!$C$10&gt;=S43)),"проходить","НИЖЧЕ мін. балу")</f>
        <v/>
      </c>
      <c r="Z43" s="55" t="inlineStr">
        <is>
          <t>Іспит + дослідницька пропозиція</t>
        </is>
      </c>
      <c r="AA43" s="60" t="n"/>
      <c r="AB43" s="60" t="n"/>
      <c r="AC43" s="52" t="n"/>
      <c r="AD43" s="60" t="n"/>
      <c r="AE43" s="52" t="inlineStr">
        <is>
          <t>https://vstup.osvita.ua/r27/21/entrance.html</t>
        </is>
      </c>
      <c r="AF43" s="60" t="inlineStr">
        <is>
          <t>https://vstup.osvita.ua/y2026/r27/21/1654471/</t>
        </is>
      </c>
      <c r="AG43" s="60" t="n"/>
      <c r="AH43" s="60" t="n"/>
      <c r="AI43" s="52" t="n"/>
      <c r="AJ43" s="37" t="inlineStr"/>
      <c r="AK43" s="37" t="inlineStr"/>
      <c r="AL43" s="37" t="inlineStr"/>
      <c r="AM43" s="37">
        <f>IF(AJ43="","дані ще не вивантажені",IF('Бали кандидатів'!$B$7&gt;=AJ43,"проходить","НЕ проходить за ЄВВ"))</f>
        <v/>
      </c>
      <c r="AN43" s="37">
        <f>IF(AJ43="","дані ще не вивантажені",IF('Бали кандидатів'!$C$7&gt;=AJ43,"проходить","НЕ проходить за ЄВВ"))</f>
        <v/>
      </c>
    </row>
    <row r="44" ht="15" customHeight="1" s="38">
      <c r="A44" s="51" t="inlineStr">
        <is>
          <t>F3 Комп'ютерні науки</t>
        </is>
      </c>
      <c r="B44" s="52" t="inlineStr">
        <is>
          <t>Інститут кібернетики ім. В. М. Глушкова НАНУ</t>
        </is>
      </c>
      <c r="C44" s="52" t="inlineStr">
        <is>
          <t>Київ</t>
        </is>
      </c>
      <c r="D44" s="53" t="inlineStr">
        <is>
          <t>Київ</t>
        </is>
      </c>
      <c r="E44" s="54" t="inlineStr">
        <is>
          <t>ТАК</t>
        </is>
      </c>
      <c r="F44" s="53" t="inlineStr">
        <is>
          <t>Фіксована</t>
        </is>
      </c>
      <c r="G44" s="55" t="inlineStr">
        <is>
          <t>ні</t>
        </is>
      </c>
      <c r="H44" s="52" t="n"/>
      <c r="I44" s="52" t="inlineStr">
        <is>
          <t>Комп'ютерні науки</t>
        </is>
      </c>
      <c r="J44" s="52" t="n"/>
      <c r="K44" s="52" t="n">
        <v>4</v>
      </c>
      <c r="L44" s="52" t="n">
        <v>9</v>
      </c>
      <c r="M44" s="56">
        <f>IF(K44=0,"н/д",L44/K44)</f>
        <v/>
      </c>
      <c r="N44" s="52" t="inlineStr">
        <is>
          <t>26.08.2026</t>
        </is>
      </c>
      <c r="O44" s="57" t="n">
        <v>0.6</v>
      </c>
      <c r="P44" s="57" t="n">
        <v>0</v>
      </c>
      <c r="Q44" s="57" t="n">
        <v>0</v>
      </c>
      <c r="R44" s="52" t="inlineStr">
        <is>
          <t>—</t>
        </is>
      </c>
      <c r="S44" s="52" t="inlineStr">
        <is>
          <t>—</t>
        </is>
      </c>
      <c r="T44" s="58">
        <f>0.2*'Бали кандидатів'!$B$6+0.2*'Бали кандидатів'!$B$7+O44*'Бали кандидатів'!$B$9+P44*'Бали кандидатів'!$B$10+Q44*'Бали кандидатів'!$B$11</f>
        <v/>
      </c>
      <c r="U44" s="58">
        <f>0.2*'Бали кандидатів'!$C$6+0.2*'Бали кандидатів'!$C$7+O44*'Бали кандидатів'!$C$9+P44*'Бали кандидатів'!$C$10+Q44*'Бали кандидатів'!$C$11</f>
        <v/>
      </c>
      <c r="V44" s="59">
        <f>IF('Бали кандидатів'!$B$14&gt;=300,"OK","НЕ ДОПУЩЕНО")</f>
        <v/>
      </c>
      <c r="W44" s="59">
        <f>IF('Бали кандидатів'!$C$14&gt;=300,"OK","НЕ ДОПУЩЕНО")</f>
        <v/>
      </c>
      <c r="X44" s="52">
        <f>IF(AND(OR(R44="—",'Бали кандидатів'!$B$9&gt;=R44),OR(S44="—",'Бали кандидатів'!$B$10&gt;=S44)),"проходить","НИЖЧЕ мін. балу")</f>
        <v/>
      </c>
      <c r="Y44" s="55">
        <f>IF(AND(OR(R44="—",'Бали кандидатів'!$C$9&gt;=R44),OR(S44="—",'Бали кандидатів'!$C$10&gt;=S44)),"проходить","НИЖЧЕ мін. балу")</f>
        <v/>
      </c>
      <c r="Z44" s="55" t="inlineStr">
        <is>
          <t>Тільки іспит зі спеціальності</t>
        </is>
      </c>
      <c r="AA44" s="60" t="inlineStr">
        <is>
          <t>Презентація передбачена, але з вагою 0 — на бал не впливає</t>
        </is>
      </c>
      <c r="AB44" s="60" t="n"/>
      <c r="AC44" s="52" t="n"/>
      <c r="AD44" s="60" t="n"/>
      <c r="AE44" s="52" t="inlineStr">
        <is>
          <t>https://vstup.osvita.ua/r27/3610/entrance.html</t>
        </is>
      </c>
      <c r="AF44" s="60" t="inlineStr">
        <is>
          <t>https://vstup.osvita.ua/y2026/r27/3610/1649398/</t>
        </is>
      </c>
      <c r="AG44" s="60" t="n"/>
      <c r="AH44" s="60" t="n"/>
      <c r="AI44" s="52" t="n"/>
      <c r="AJ44" s="37" t="inlineStr"/>
      <c r="AK44" s="37" t="inlineStr"/>
      <c r="AL44" s="37" t="inlineStr"/>
      <c r="AM44" s="37">
        <f>IF(AJ44="","дані ще не вивантажені",IF('Бали кандидатів'!$B$7&gt;=AJ44,"проходить","НЕ проходить за ЄВВ"))</f>
        <v/>
      </c>
      <c r="AN44" s="37">
        <f>IF(AJ44="","дані ще не вивантажені",IF('Бали кандидатів'!$C$7&gt;=AJ44,"проходить","НЕ проходить за ЄВВ"))</f>
        <v/>
      </c>
    </row>
    <row r="45" ht="26.85" customHeight="1" s="38">
      <c r="A45" s="51" t="inlineStr">
        <is>
          <t>F3 Комп'ютерні науки</t>
        </is>
      </c>
      <c r="B45" s="52" t="inlineStr">
        <is>
          <t>Інститут програмних систем НАНУ</t>
        </is>
      </c>
      <c r="C45" s="52" t="inlineStr">
        <is>
          <t>Київ</t>
        </is>
      </c>
      <c r="D45" s="53" t="inlineStr">
        <is>
          <t>Київ</t>
        </is>
      </c>
      <c r="E45" s="54" t="inlineStr">
        <is>
          <t>ТАК</t>
        </is>
      </c>
      <c r="F45" s="53" t="inlineStr">
        <is>
          <t>Фіксована</t>
        </is>
      </c>
      <c r="G45" s="55" t="inlineStr">
        <is>
          <t>ні</t>
        </is>
      </c>
      <c r="H45" s="52" t="n"/>
      <c r="I45" s="52" t="inlineStr">
        <is>
          <t>Комп'ютерні науки</t>
        </is>
      </c>
      <c r="J45" s="52" t="n"/>
      <c r="K45" s="52" t="n">
        <v>4</v>
      </c>
      <c r="L45" s="52" t="n">
        <v>9</v>
      </c>
      <c r="M45" s="56">
        <f>IF(K45=0,"н/д",L45/K45)</f>
        <v/>
      </c>
      <c r="N45" s="52" t="inlineStr">
        <is>
          <t>26.08.2026</t>
        </is>
      </c>
      <c r="O45" s="57" t="n">
        <v>0.3</v>
      </c>
      <c r="P45" s="57" t="n">
        <v>0.3</v>
      </c>
      <c r="Q45" s="57" t="n">
        <v>0</v>
      </c>
      <c r="R45" s="52" t="n">
        <v>100</v>
      </c>
      <c r="S45" s="52" t="n">
        <v>100</v>
      </c>
      <c r="T45" s="58">
        <f>0.2*'Бали кандидатів'!$B$6+0.2*'Бали кандидатів'!$B$7+O45*'Бали кандидатів'!$B$9+P45*'Бали кандидатів'!$B$10+Q45*'Бали кандидатів'!$B$11</f>
        <v/>
      </c>
      <c r="U45" s="58">
        <f>0.2*'Бали кандидатів'!$C$6+0.2*'Бали кандидатів'!$C$7+O45*'Бали кандидатів'!$C$9+P45*'Бали кандидатів'!$C$10+Q45*'Бали кандидатів'!$C$11</f>
        <v/>
      </c>
      <c r="V45" s="59">
        <f>IF('Бали кандидатів'!$B$14&gt;=300,"OK","НЕ ДОПУЩЕНО")</f>
        <v/>
      </c>
      <c r="W45" s="59">
        <f>IF('Бали кандидатів'!$C$14&gt;=300,"OK","НЕ ДОПУЩЕНО")</f>
        <v/>
      </c>
      <c r="X45" s="52">
        <f>IF(AND(OR(R45="—",'Бали кандидатів'!$B$9&gt;=R45),OR(S45="—",'Бали кандидатів'!$B$10&gt;=S45)),"проходить","НИЖЧЕ мін. балу")</f>
        <v/>
      </c>
      <c r="Y45" s="55">
        <f>IF(AND(OR(R45="—",'Бали кандидатів'!$C$9&gt;=R45),OR(S45="—",'Бали кандидатів'!$C$10&gt;=S45)),"проходить","НИЖЧЕ мін. балу")</f>
        <v/>
      </c>
      <c r="Z45" s="55" t="inlineStr">
        <is>
          <t>Дослідницька пропозиція важить більше або нарівні з іспитом</t>
        </is>
      </c>
      <c r="AA45" s="60" t="inlineStr">
        <is>
          <t>Плюс додаткова співбесіда зі спеціальності (вага 0)</t>
        </is>
      </c>
      <c r="AB45" s="60" t="n"/>
      <c r="AC45" s="52" t="n"/>
      <c r="AD45" s="60" t="n"/>
      <c r="AE45" s="52" t="inlineStr">
        <is>
          <t>https://vstup.osvita.ua/r27/3615/entrance.html</t>
        </is>
      </c>
      <c r="AF45" s="60" t="inlineStr">
        <is>
          <t>https://vstup.osvita.ua/y2026/r27/3615/1649827/</t>
        </is>
      </c>
      <c r="AG45" s="60" t="n"/>
      <c r="AH45" s="60" t="n"/>
      <c r="AI45" s="52" t="n"/>
      <c r="AJ45" s="37" t="inlineStr"/>
      <c r="AK45" s="37" t="inlineStr"/>
      <c r="AL45" s="37" t="inlineStr"/>
      <c r="AM45" s="37">
        <f>IF(AJ45="","дані ще не вивантажені",IF('Бали кандидатів'!$B$7&gt;=AJ45,"проходить","НЕ проходить за ЄВВ"))</f>
        <v/>
      </c>
      <c r="AN45" s="37">
        <f>IF(AJ45="","дані ще не вивантажені",IF('Бали кандидатів'!$C$7&gt;=AJ45,"проходить","НЕ проходить за ЄВВ"))</f>
        <v/>
      </c>
    </row>
    <row r="46" ht="15" customHeight="1" s="38">
      <c r="A46" s="51" t="inlineStr">
        <is>
          <t>F3 Комп'ютерні науки</t>
        </is>
      </c>
      <c r="B46" s="52" t="inlineStr">
        <is>
          <t>Тернопільський національний технічний університет ім. І. Пулюя</t>
        </is>
      </c>
      <c r="C46" s="52" t="inlineStr">
        <is>
          <t>Тернопіль</t>
        </is>
      </c>
      <c r="D46" s="53" t="inlineStr">
        <is>
          <t>Тернопільська</t>
        </is>
      </c>
      <c r="E46" s="54" t="inlineStr">
        <is>
          <t>ТАК</t>
        </is>
      </c>
      <c r="F46" s="53" t="inlineStr">
        <is>
          <t>Фіксована</t>
        </is>
      </c>
      <c r="G46" s="55" t="inlineStr">
        <is>
          <t>ні</t>
        </is>
      </c>
      <c r="H46" s="52" t="n"/>
      <c r="I46" s="52" t="inlineStr">
        <is>
          <t>Комп'ютерні науки</t>
        </is>
      </c>
      <c r="J46" s="52" t="n"/>
      <c r="K46" s="52" t="n">
        <v>8</v>
      </c>
      <c r="L46" s="52" t="n">
        <v>18</v>
      </c>
      <c r="M46" s="56">
        <f>IF(K46=0,"н/д",L46/K46)</f>
        <v/>
      </c>
      <c r="N46" s="52" t="inlineStr">
        <is>
          <t>26.08.2026</t>
        </is>
      </c>
      <c r="O46" s="57" t="n">
        <v>0.6</v>
      </c>
      <c r="P46" s="57" t="n">
        <v>0</v>
      </c>
      <c r="Q46" s="57" t="n">
        <v>0</v>
      </c>
      <c r="R46" s="52" t="n">
        <v>100</v>
      </c>
      <c r="S46" s="52" t="inlineStr">
        <is>
          <t>—</t>
        </is>
      </c>
      <c r="T46" s="58">
        <f>0.2*'Бали кандидатів'!$B$6+0.2*'Бали кандидатів'!$B$7+O46*'Бали кандидатів'!$B$9+P46*'Бали кандидатів'!$B$10+Q46*'Бали кандидатів'!$B$11</f>
        <v/>
      </c>
      <c r="U46" s="58">
        <f>0.2*'Бали кандидатів'!$C$6+0.2*'Бали кандидатів'!$C$7+O46*'Бали кандидатів'!$C$9+P46*'Бали кандидатів'!$C$10+Q46*'Бали кандидатів'!$C$11</f>
        <v/>
      </c>
      <c r="V46" s="59">
        <f>IF('Бали кандидатів'!$B$14&gt;=300,"OK","НЕ ДОПУЩЕНО")</f>
        <v/>
      </c>
      <c r="W46" s="59">
        <f>IF('Бали кандидатів'!$C$14&gt;=300,"OK","НЕ ДОПУЩЕНО")</f>
        <v/>
      </c>
      <c r="X46" s="52">
        <f>IF(AND(OR(R46="—",'Бали кандидатів'!$B$9&gt;=R46),OR(S46="—",'Бали кандидатів'!$B$10&gt;=S46)),"проходить","НИЖЧЕ мін. балу")</f>
        <v/>
      </c>
      <c r="Y46" s="55">
        <f>IF(AND(OR(R46="—",'Бали кандидатів'!$C$9&gt;=R46),OR(S46="—",'Бали кандидатів'!$C$10&gt;=S46)),"проходить","НИЖЧЕ мін. балу")</f>
        <v/>
      </c>
      <c r="Z46" s="55" t="inlineStr">
        <is>
          <t>Тільки іспит зі спеціальності</t>
        </is>
      </c>
      <c r="AA46" s="60" t="n"/>
      <c r="AB46" s="60" t="n"/>
      <c r="AC46" s="52" t="n"/>
      <c r="AD46" s="60" t="n"/>
      <c r="AE46" s="52" t="inlineStr">
        <is>
          <t>https://vstup.osvita.ua/r20/166/entrance.html</t>
        </is>
      </c>
      <c r="AF46" s="60" t="inlineStr">
        <is>
          <t>https://vstup.osvita.ua/y2026/r20/166/1644710/</t>
        </is>
      </c>
      <c r="AG46" s="60" t="n"/>
      <c r="AH46" s="60" t="n"/>
      <c r="AI46" s="52" t="n"/>
      <c r="AJ46" s="37" t="inlineStr"/>
      <c r="AK46" s="37" t="inlineStr"/>
      <c r="AL46" s="37" t="inlineStr"/>
      <c r="AM46" s="37">
        <f>IF(AJ46="","дані ще не вивантажені",IF('Бали кандидатів'!$B$7&gt;=AJ46,"проходить","НЕ проходить за ЄВВ"))</f>
        <v/>
      </c>
      <c r="AN46" s="37">
        <f>IF(AJ46="","дані ще не вивантажені",IF('Бали кандидатів'!$C$7&gt;=AJ46,"проходить","НЕ проходить за ЄВВ"))</f>
        <v/>
      </c>
    </row>
    <row r="47" ht="15" customHeight="1" s="38">
      <c r="A47" s="51" t="inlineStr">
        <is>
          <t>F3 Комп'ютерні науки</t>
        </is>
      </c>
      <c r="B47" s="52" t="inlineStr">
        <is>
          <t>НТУ «Харківський політехнічний інститут»</t>
        </is>
      </c>
      <c r="C47" s="52" t="inlineStr">
        <is>
          <t>Харків</t>
        </is>
      </c>
      <c r="D47" s="53" t="inlineStr">
        <is>
          <t>Харківська</t>
        </is>
      </c>
      <c r="E47" s="54" t="inlineStr">
        <is>
          <t>ТАК</t>
        </is>
      </c>
      <c r="F47" s="53" t="inlineStr">
        <is>
          <t>Фіксована</t>
        </is>
      </c>
      <c r="G47" s="55" t="inlineStr">
        <is>
          <t>ні</t>
        </is>
      </c>
      <c r="H47" s="52" t="n"/>
      <c r="I47" s="52" t="inlineStr">
        <is>
          <t>Комп'ютерні науки</t>
        </is>
      </c>
      <c r="J47" s="52" t="n"/>
      <c r="K47" s="52" t="n">
        <v>26</v>
      </c>
      <c r="L47" s="61" t="n">
        <v>59</v>
      </c>
      <c r="M47" s="56">
        <f>IF(K47=0,"н/д",L47/K47)</f>
        <v/>
      </c>
      <c r="N47" s="62" t="inlineStr">
        <is>
          <t>25.08.2026 (застаріле)</t>
        </is>
      </c>
      <c r="O47" s="57" t="n">
        <v>0.6</v>
      </c>
      <c r="P47" s="57" t="n">
        <v>0</v>
      </c>
      <c r="Q47" s="57" t="n">
        <v>0</v>
      </c>
      <c r="R47" s="52" t="inlineStr">
        <is>
          <t>—</t>
        </is>
      </c>
      <c r="S47" s="52" t="inlineStr">
        <is>
          <t>—</t>
        </is>
      </c>
      <c r="T47" s="58">
        <f>0.2*'Бали кандидатів'!$B$6+0.2*'Бали кандидатів'!$B$7+O47*'Бали кандидатів'!$B$9+P47*'Бали кандидатів'!$B$10+Q47*'Бали кандидатів'!$B$11</f>
        <v/>
      </c>
      <c r="U47" s="58">
        <f>0.2*'Бали кандидатів'!$C$6+0.2*'Бали кандидатів'!$C$7+O47*'Бали кандидатів'!$C$9+P47*'Бали кандидатів'!$C$10+Q47*'Бали кандидатів'!$C$11</f>
        <v/>
      </c>
      <c r="V47" s="59">
        <f>IF('Бали кандидатів'!$B$14&gt;=300,"OK","НЕ ДОПУЩЕНО")</f>
        <v/>
      </c>
      <c r="W47" s="59">
        <f>IF('Бали кандидатів'!$C$14&gt;=300,"OK","НЕ ДОПУЩЕНО")</f>
        <v/>
      </c>
      <c r="X47" s="52">
        <f>IF(AND(OR(R47="—",'Бали кандидатів'!$B$9&gt;=R47),OR(S47="—",'Бали кандидатів'!$B$10&gt;=S47)),"проходить","НИЖЧЕ мін. балу")</f>
        <v/>
      </c>
      <c r="Y47" s="55">
        <f>IF(AND(OR(R47="—",'Бали кандидатів'!$C$9&gt;=R47),OR(S47="—",'Бали кандидатів'!$C$10&gt;=S47)),"проходить","НИЖЧЕ мін. балу")</f>
        <v/>
      </c>
      <c r="Z47" s="55" t="inlineStr">
        <is>
          <t>Тільки іспит зі спеціальності</t>
        </is>
      </c>
      <c r="AA47" s="60" t="n"/>
      <c r="AB47" s="60" t="n"/>
      <c r="AC47" s="52" t="n"/>
      <c r="AD47" s="60" t="n"/>
      <c r="AE47" s="52" t="inlineStr">
        <is>
          <t>https://vstup.osvita.ua/r21/104/entrance.html</t>
        </is>
      </c>
      <c r="AF47" s="60" t="inlineStr">
        <is>
          <t>https://vstup.osvita.ua/y2026/r21/104/1649693/</t>
        </is>
      </c>
      <c r="AG47" s="60" t="n"/>
      <c r="AH47" s="60" t="n"/>
      <c r="AI47" s="52" t="n"/>
      <c r="AJ47" s="37" t="inlineStr"/>
      <c r="AK47" s="37" t="inlineStr"/>
      <c r="AL47" s="37" t="inlineStr"/>
      <c r="AM47" s="37">
        <f>IF(AJ47="","дані ще не вивантажені",IF('Бали кандидатів'!$B$7&gt;=AJ47,"проходить","НЕ проходить за ЄВВ"))</f>
        <v/>
      </c>
      <c r="AN47" s="37">
        <f>IF(AJ47="","дані ще не вивантажені",IF('Бали кандидатів'!$C$7&gt;=AJ47,"проходить","НЕ проходить за ЄВВ"))</f>
        <v/>
      </c>
    </row>
    <row r="48" ht="15" customHeight="1" s="38">
      <c r="A48" s="51" t="inlineStr">
        <is>
          <t>F3 Комп'ютерні науки</t>
        </is>
      </c>
      <c r="B48" s="52" t="inlineStr">
        <is>
          <t>Харківський авіаційний інститут (ХАІ)</t>
        </is>
      </c>
      <c r="C48" s="52" t="inlineStr">
        <is>
          <t>Харків</t>
        </is>
      </c>
      <c r="D48" s="53" t="inlineStr">
        <is>
          <t>Харківська</t>
        </is>
      </c>
      <c r="E48" s="54" t="inlineStr">
        <is>
          <t>ТАК</t>
        </is>
      </c>
      <c r="F48" s="53" t="inlineStr">
        <is>
          <t>Фіксована</t>
        </is>
      </c>
      <c r="G48" s="55" t="inlineStr">
        <is>
          <t>ні</t>
        </is>
      </c>
      <c r="H48" s="52" t="n"/>
      <c r="I48" s="52" t="inlineStr">
        <is>
          <t>Інформаційні технології</t>
        </is>
      </c>
      <c r="J48" s="52" t="inlineStr">
        <is>
          <t>Інтелектуальних систем управління</t>
        </is>
      </c>
      <c r="K48" s="52" t="n">
        <v>7</v>
      </c>
      <c r="L48" s="52" t="n">
        <v>16</v>
      </c>
      <c r="M48" s="56">
        <f>IF(K48=0,"н/д",L48/K48)</f>
        <v/>
      </c>
      <c r="N48" s="52" t="inlineStr">
        <is>
          <t>26.08.2026</t>
        </is>
      </c>
      <c r="O48" s="57" t="n">
        <v>0.6</v>
      </c>
      <c r="P48" s="57" t="n">
        <v>0</v>
      </c>
      <c r="Q48" s="57" t="n">
        <v>0</v>
      </c>
      <c r="R48" s="52" t="inlineStr">
        <is>
          <t>—</t>
        </is>
      </c>
      <c r="S48" s="52" t="inlineStr">
        <is>
          <t>—</t>
        </is>
      </c>
      <c r="T48" s="58">
        <f>0.2*'Бали кандидатів'!$B$6+0.2*'Бали кандидатів'!$B$7+O48*'Бали кандидатів'!$B$9+P48*'Бали кандидатів'!$B$10+Q48*'Бали кандидатів'!$B$11</f>
        <v/>
      </c>
      <c r="U48" s="58">
        <f>0.2*'Бали кандидатів'!$C$6+0.2*'Бали кандидатів'!$C$7+O48*'Бали кандидатів'!$C$9+P48*'Бали кандидатів'!$C$10+Q48*'Бали кандидатів'!$C$11</f>
        <v/>
      </c>
      <c r="V48" s="59">
        <f>IF('Бали кандидатів'!$B$14&gt;=300,"OK","НЕ ДОПУЩЕНО")</f>
        <v/>
      </c>
      <c r="W48" s="59">
        <f>IF('Бали кандидатів'!$C$14&gt;=300,"OK","НЕ ДОПУЩЕНО")</f>
        <v/>
      </c>
      <c r="X48" s="52">
        <f>IF(AND(OR(R48="—",'Бали кандидатів'!$B$9&gt;=R48),OR(S48="—",'Бали кандидатів'!$B$10&gt;=S48)),"проходить","НИЖЧЕ мін. балу")</f>
        <v/>
      </c>
      <c r="Y48" s="55">
        <f>IF(AND(OR(R48="—",'Бали кандидатів'!$C$9&gt;=R48),OR(S48="—",'Бали кандидатів'!$C$10&gt;=S48)),"проходить","НИЖЧЕ мін. балу")</f>
        <v/>
      </c>
      <c r="Z48" s="55" t="inlineStr">
        <is>
          <t>Тільки іспит зі спеціальності</t>
        </is>
      </c>
      <c r="AA48" s="60" t="n"/>
      <c r="AB48" s="60" t="n"/>
      <c r="AC48" s="52" t="n"/>
      <c r="AD48" s="60" t="n"/>
      <c r="AE48" s="52" t="inlineStr">
        <is>
          <t>https://vstup.osvita.ua/r21/34/entrance.html</t>
        </is>
      </c>
      <c r="AF48" s="60" t="inlineStr">
        <is>
          <t>https://vstup.osvita.ua/y2026/r21/34/1644837/</t>
        </is>
      </c>
      <c r="AG48" s="60" t="n"/>
      <c r="AH48" s="60" t="n"/>
      <c r="AI48" s="52" t="n"/>
      <c r="AJ48" s="37" t="inlineStr"/>
      <c r="AK48" s="37" t="inlineStr"/>
      <c r="AL48" s="37" t="inlineStr"/>
      <c r="AM48" s="37">
        <f>IF(AJ48="","дані ще не вивантажені",IF('Бали кандидатів'!$B$7&gt;=AJ48,"проходить","НЕ проходить за ЄВВ"))</f>
        <v/>
      </c>
      <c r="AN48" s="37">
        <f>IF(AJ48="","дані ще не вивантажені",IF('Бали кандидатів'!$C$7&gt;=AJ48,"проходить","НЕ проходить за ЄВВ"))</f>
        <v/>
      </c>
    </row>
    <row r="49" ht="15" customHeight="1" s="38">
      <c r="A49" s="51" t="inlineStr">
        <is>
          <t>F3 Комп'ютерні науки</t>
        </is>
      </c>
      <c r="B49" s="52" t="inlineStr">
        <is>
          <t>Харківський авіаційний інститут (ХАІ)</t>
        </is>
      </c>
      <c r="C49" s="52" t="inlineStr">
        <is>
          <t>Харків</t>
        </is>
      </c>
      <c r="D49" s="53" t="inlineStr">
        <is>
          <t>Харківська</t>
        </is>
      </c>
      <c r="E49" s="54" t="inlineStr">
        <is>
          <t>ТАК</t>
        </is>
      </c>
      <c r="F49" s="53" t="inlineStr">
        <is>
          <t>Фіксована</t>
        </is>
      </c>
      <c r="G49" s="55" t="inlineStr">
        <is>
          <t>ні</t>
        </is>
      </c>
      <c r="H49" s="52" t="n"/>
      <c r="I49" s="52" t="inlineStr">
        <is>
          <t>Інформаційні технології</t>
        </is>
      </c>
      <c r="J49" s="52" t="inlineStr">
        <is>
          <t>Літакобудування</t>
        </is>
      </c>
      <c r="K49" s="52" t="n">
        <v>10</v>
      </c>
      <c r="L49" s="52" t="n">
        <v>23</v>
      </c>
      <c r="M49" s="56">
        <f>IF(K49=0,"н/д",L49/K49)</f>
        <v/>
      </c>
      <c r="N49" s="52" t="inlineStr">
        <is>
          <t>26.08.2026</t>
        </is>
      </c>
      <c r="O49" s="57" t="n">
        <v>0.6</v>
      </c>
      <c r="P49" s="57" t="n">
        <v>0</v>
      </c>
      <c r="Q49" s="57" t="n">
        <v>0</v>
      </c>
      <c r="R49" s="52" t="inlineStr">
        <is>
          <t>—</t>
        </is>
      </c>
      <c r="S49" s="52" t="inlineStr">
        <is>
          <t>—</t>
        </is>
      </c>
      <c r="T49" s="58">
        <f>0.2*'Бали кандидатів'!$B$6+0.2*'Бали кандидатів'!$B$7+O49*'Бали кандидатів'!$B$9+P49*'Бали кандидатів'!$B$10+Q49*'Бали кандидатів'!$B$11</f>
        <v/>
      </c>
      <c r="U49" s="58">
        <f>0.2*'Бали кандидатів'!$C$6+0.2*'Бали кандидатів'!$C$7+O49*'Бали кандидатів'!$C$9+P49*'Бали кандидатів'!$C$10+Q49*'Бали кандидатів'!$C$11</f>
        <v/>
      </c>
      <c r="V49" s="59">
        <f>IF('Бали кандидатів'!$B$14&gt;=300,"OK","НЕ ДОПУЩЕНО")</f>
        <v/>
      </c>
      <c r="W49" s="59">
        <f>IF('Бали кандидатів'!$C$14&gt;=300,"OK","НЕ ДОПУЩЕНО")</f>
        <v/>
      </c>
      <c r="X49" s="52">
        <f>IF(AND(OR(R49="—",'Бали кандидатів'!$B$9&gt;=R49),OR(S49="—",'Бали кандидатів'!$B$10&gt;=S49)),"проходить","НИЖЧЕ мін. балу")</f>
        <v/>
      </c>
      <c r="Y49" s="55">
        <f>IF(AND(OR(R49="—",'Бали кандидатів'!$C$9&gt;=R49),OR(S49="—",'Бали кандидатів'!$C$10&gt;=S49)),"проходить","НИЖЧЕ мін. балу")</f>
        <v/>
      </c>
      <c r="Z49" s="55" t="inlineStr">
        <is>
          <t>Тільки іспит зі спеціальності</t>
        </is>
      </c>
      <c r="AA49" s="60" t="n"/>
      <c r="AB49" s="60" t="n"/>
      <c r="AC49" s="52" t="n"/>
      <c r="AD49" s="60" t="n"/>
      <c r="AE49" s="52" t="inlineStr">
        <is>
          <t>https://vstup.osvita.ua/r21/34/entrance.html</t>
        </is>
      </c>
      <c r="AF49" s="60" t="inlineStr">
        <is>
          <t>https://vstup.osvita.ua/y2026/r21/34/1644838/</t>
        </is>
      </c>
      <c r="AG49" s="60" t="n"/>
      <c r="AH49" s="60" t="n"/>
      <c r="AI49" s="52" t="n"/>
      <c r="AJ49" s="37" t="inlineStr"/>
      <c r="AK49" s="37" t="inlineStr"/>
      <c r="AL49" s="37" t="inlineStr"/>
      <c r="AM49" s="37">
        <f>IF(AJ49="","дані ще не вивантажені",IF('Бали кандидатів'!$B$7&gt;=AJ49,"проходить","НЕ проходить за ЄВВ"))</f>
        <v/>
      </c>
      <c r="AN49" s="37">
        <f>IF(AJ49="","дані ще не вивантажені",IF('Бали кандидатів'!$C$7&gt;=AJ49,"проходить","НЕ проходить за ЄВВ"))</f>
        <v/>
      </c>
    </row>
    <row r="50" ht="15" customHeight="1" s="38">
      <c r="A50" s="51" t="inlineStr">
        <is>
          <t>F2 Інженерія ПЗ</t>
        </is>
      </c>
      <c r="B50" s="63" t="inlineStr">
        <is>
          <t>Херсонський державний університет</t>
        </is>
      </c>
      <c r="C50" s="52" t="inlineStr">
        <is>
          <t>Івано-Франківськ (переміщений)</t>
        </is>
      </c>
      <c r="D50" s="53" t="inlineStr">
        <is>
          <t>Івано-Франківська</t>
        </is>
      </c>
      <c r="E50" s="54" t="inlineStr">
        <is>
          <t>ТАК</t>
        </is>
      </c>
      <c r="F50" s="53" t="inlineStr">
        <is>
          <t>Фіксована</t>
        </is>
      </c>
      <c r="G50" s="65" t="inlineStr">
        <is>
          <t>ТАК</t>
        </is>
      </c>
      <c r="H50" s="62" t="inlineStr">
        <is>
          <t>ПЕРЕМІЩЕНИЙ з Херсона; у ЄДЕБО зареєстрований в Івано-Франківській обл.</t>
        </is>
      </c>
      <c r="I50" s="52" t="inlineStr">
        <is>
          <t>Інженерія програмного забезпечення</t>
        </is>
      </c>
      <c r="J50" s="52" t="inlineStr">
        <is>
          <t>Цифрових технологій, природничих наук та математики</t>
        </is>
      </c>
      <c r="K50" s="52" t="n">
        <v>3</v>
      </c>
      <c r="L50" s="52" t="n">
        <v>7</v>
      </c>
      <c r="M50" s="56">
        <f>IF(K50=0,"н/д",L50/K50)</f>
        <v/>
      </c>
      <c r="N50" s="52" t="inlineStr">
        <is>
          <t>26.08.2026</t>
        </is>
      </c>
      <c r="O50" s="57" t="n">
        <v>0.6</v>
      </c>
      <c r="P50" s="57" t="n">
        <v>0</v>
      </c>
      <c r="Q50" s="57" t="n">
        <v>0</v>
      </c>
      <c r="R50" s="52" t="n">
        <v>100</v>
      </c>
      <c r="S50" s="52" t="inlineStr">
        <is>
          <t>—</t>
        </is>
      </c>
      <c r="T50" s="58">
        <f>0.2*'Бали кандидатів'!$B$6+0.2*'Бали кандидатів'!$B$7+O50*'Бали кандидатів'!$B$9+P50*'Бали кандидатів'!$B$10+Q50*'Бали кандидатів'!$B$11</f>
        <v/>
      </c>
      <c r="U50" s="58">
        <f>0.2*'Бали кандидатів'!$C$6+0.2*'Бали кандидатів'!$C$7+O50*'Бали кандидатів'!$C$9+P50*'Бали кандидатів'!$C$10+Q50*'Бали кандидатів'!$C$11</f>
        <v/>
      </c>
      <c r="V50" s="59">
        <f>IF('Бали кандидатів'!$B$14&gt;=300,"OK","НЕ ДОПУЩЕНО")</f>
        <v/>
      </c>
      <c r="W50" s="59">
        <f>IF('Бали кандидатів'!$C$14&gt;=300,"OK","НЕ ДОПУЩЕНО")</f>
        <v/>
      </c>
      <c r="X50" s="52">
        <f>IF(AND(OR(R50="—",'Бали кандидатів'!$B$9&gt;=R50),OR(S50="—",'Бали кандидатів'!$B$10&gt;=S50)),"проходить","НИЖЧЕ мін. балу")</f>
        <v/>
      </c>
      <c r="Y50" s="55">
        <f>IF(AND(OR(R50="—",'Бали кандидатів'!$C$9&gt;=R50),OR(S50="—",'Бали кандидатів'!$C$10&gt;=S50)),"проходить","НИЖЧЕ мін. балу")</f>
        <v/>
      </c>
      <c r="Z50" s="55" t="inlineStr">
        <is>
          <t>Тільки іспит зі спеціальності</t>
        </is>
      </c>
      <c r="AA50" s="60" t="inlineStr">
        <is>
          <t>ПЕРЕМІЩЕНИЙ; додаткова співбесіда для вступників з іншої спеціальності (вага 0)</t>
        </is>
      </c>
      <c r="AB50" s="60" t="n"/>
      <c r="AC50" s="52" t="n"/>
      <c r="AD50" s="60" t="n"/>
      <c r="AE50" s="52" t="inlineStr">
        <is>
          <t>https://vstup.osvita.ua/r10/48/entrance.html</t>
        </is>
      </c>
      <c r="AF50" s="60" t="inlineStr">
        <is>
          <t>https://vstup.osvita.ua/y2026/r10/48/1648126/</t>
        </is>
      </c>
      <c r="AG50" s="60" t="n"/>
      <c r="AH50" s="60" t="n"/>
      <c r="AI50" s="52" t="n"/>
      <c r="AJ50" s="37" t="inlineStr"/>
      <c r="AK50" s="37" t="inlineStr"/>
      <c r="AL50" s="37" t="inlineStr"/>
      <c r="AM50" s="37">
        <f>IF(AJ50="","дані ще не вивантажені",IF('Бали кандидатів'!$B$7&gt;=AJ50,"проходить","НЕ проходить за ЄВВ"))</f>
        <v/>
      </c>
      <c r="AN50" s="37">
        <f>IF(AJ50="","дані ще не вивантажені",IF('Бали кандидатів'!$C$7&gt;=AJ50,"проходить","НЕ проходить за ЄВВ"))</f>
        <v/>
      </c>
    </row>
    <row r="51" ht="15" customHeight="1" s="38">
      <c r="A51" s="51" t="inlineStr">
        <is>
          <t>F3 Комп'ютерні науки</t>
        </is>
      </c>
      <c r="B51" s="52" t="inlineStr">
        <is>
          <t>Харківський національний університет радіоелектроніки (ХНУРЕ)</t>
        </is>
      </c>
      <c r="C51" s="52" t="inlineStr">
        <is>
          <t>Харків</t>
        </is>
      </c>
      <c r="D51" s="53" t="inlineStr">
        <is>
          <t>Харківська</t>
        </is>
      </c>
      <c r="E51" s="54" t="inlineStr">
        <is>
          <t>ТАК</t>
        </is>
      </c>
      <c r="F51" s="53" t="inlineStr">
        <is>
          <t>Фіксована</t>
        </is>
      </c>
      <c r="G51" s="55" t="inlineStr">
        <is>
          <t>ні</t>
        </is>
      </c>
      <c r="H51" s="52" t="n"/>
      <c r="I51" s="52" t="inlineStr">
        <is>
          <t>Комп'ютерні науки</t>
        </is>
      </c>
      <c r="J51" s="52" t="n"/>
      <c r="K51" s="52" t="n">
        <v>25</v>
      </c>
      <c r="L51" s="52" t="n">
        <v>60</v>
      </c>
      <c r="M51" s="56">
        <f>IF(K51=0,"н/д",L51/K51)</f>
        <v/>
      </c>
      <c r="N51" s="52" t="inlineStr">
        <is>
          <t>26.08.2026</t>
        </is>
      </c>
      <c r="O51" s="57" t="n">
        <v>0.6</v>
      </c>
      <c r="P51" s="57" t="n">
        <v>0</v>
      </c>
      <c r="Q51" s="57" t="n">
        <v>0</v>
      </c>
      <c r="R51" s="52" t="n">
        <v>100</v>
      </c>
      <c r="S51" s="52" t="inlineStr">
        <is>
          <t>—</t>
        </is>
      </c>
      <c r="T51" s="58">
        <f>0.2*'Бали кандидатів'!$B$6+0.2*'Бали кандидатів'!$B$7+O51*'Бали кандидатів'!$B$9+P51*'Бали кандидатів'!$B$10+Q51*'Бали кандидатів'!$B$11</f>
        <v/>
      </c>
      <c r="U51" s="58">
        <f>0.2*'Бали кандидатів'!$C$6+0.2*'Бали кандидатів'!$C$7+O51*'Бали кандидатів'!$C$9+P51*'Бали кандидатів'!$C$10+Q51*'Бали кандидатів'!$C$11</f>
        <v/>
      </c>
      <c r="V51" s="59">
        <f>IF('Бали кандидатів'!$B$14&gt;=300,"OK","НЕ ДОПУЩЕНО")</f>
        <v/>
      </c>
      <c r="W51" s="59">
        <f>IF('Бали кандидатів'!$C$14&gt;=300,"OK","НЕ ДОПУЩЕНО")</f>
        <v/>
      </c>
      <c r="X51" s="52">
        <f>IF(AND(OR(R51="—",'Бали кандидатів'!$B$9&gt;=R51),OR(S51="—",'Бали кандидатів'!$B$10&gt;=S51)),"проходить","НИЖЧЕ мін. балу")</f>
        <v/>
      </c>
      <c r="Y51" s="55">
        <f>IF(AND(OR(R51="—",'Бали кандидатів'!$C$9&gt;=R51),OR(S51="—",'Бали кандидатів'!$C$10&gt;=S51)),"проходить","НИЖЧЕ мін. балу")</f>
        <v/>
      </c>
      <c r="Z51" s="55" t="inlineStr">
        <is>
          <t>Тільки іспит зі спеціальності</t>
        </is>
      </c>
      <c r="AA51" s="60" t="n"/>
      <c r="AB51" s="60" t="n"/>
      <c r="AC51" s="52" t="n"/>
      <c r="AD51" s="60" t="n"/>
      <c r="AE51" s="52" t="inlineStr">
        <is>
          <t>https://vstup.osvita.ua/r21/92/entrance.html</t>
        </is>
      </c>
      <c r="AF51" s="60" t="inlineStr">
        <is>
          <t>https://vstup.osvita.ua/y2026/r21/92/1653785/</t>
        </is>
      </c>
      <c r="AG51" s="60" t="n"/>
      <c r="AH51" s="60" t="n"/>
      <c r="AI51" s="52" t="n"/>
      <c r="AJ51" s="37" t="inlineStr"/>
      <c r="AK51" s="37" t="inlineStr"/>
      <c r="AL51" s="37" t="inlineStr"/>
      <c r="AM51" s="37">
        <f>IF(AJ51="","дані ще не вивантажені",IF('Бали кандидатів'!$B$7&gt;=AJ51,"проходить","НЕ проходить за ЄВВ"))</f>
        <v/>
      </c>
      <c r="AN51" s="37">
        <f>IF(AJ51="","дані ще не вивантажені",IF('Бали кандидатів'!$C$7&gt;=AJ51,"проходить","НЕ проходить за ЄВВ"))</f>
        <v/>
      </c>
    </row>
    <row r="52" ht="15" customHeight="1" s="38">
      <c r="A52" s="51" t="inlineStr">
        <is>
          <t>F3 Комп'ютерні науки</t>
        </is>
      </c>
      <c r="B52" s="52" t="inlineStr">
        <is>
          <t>Сумський державний університет</t>
        </is>
      </c>
      <c r="C52" s="52" t="inlineStr">
        <is>
          <t>Суми</t>
        </is>
      </c>
      <c r="D52" s="53" t="inlineStr">
        <is>
          <t>Сумська</t>
        </is>
      </c>
      <c r="E52" s="54" t="inlineStr">
        <is>
          <t>ТАК</t>
        </is>
      </c>
      <c r="F52" s="53" t="inlineStr">
        <is>
          <t>Фіксована</t>
        </is>
      </c>
      <c r="G52" s="55" t="inlineStr">
        <is>
          <t>ні</t>
        </is>
      </c>
      <c r="H52" s="52" t="n"/>
      <c r="I52" s="52" t="inlineStr">
        <is>
          <t>Комп'ютерні науки</t>
        </is>
      </c>
      <c r="J52" s="52" t="inlineStr">
        <is>
          <t>Електроніки та інформаційних технологій</t>
        </is>
      </c>
      <c r="K52" s="52" t="n">
        <v>20</v>
      </c>
      <c r="L52" s="52" t="n">
        <v>49</v>
      </c>
      <c r="M52" s="56">
        <f>IF(K52=0,"н/д",L52/K52)</f>
        <v/>
      </c>
      <c r="N52" s="52" t="inlineStr">
        <is>
          <t>26.08.2026</t>
        </is>
      </c>
      <c r="O52" s="57" t="n">
        <v>0.6</v>
      </c>
      <c r="P52" s="57" t="n">
        <v>0</v>
      </c>
      <c r="Q52" s="57" t="n">
        <v>0</v>
      </c>
      <c r="R52" s="52" t="n">
        <v>100</v>
      </c>
      <c r="S52" s="52" t="inlineStr">
        <is>
          <t>—</t>
        </is>
      </c>
      <c r="T52" s="58">
        <f>0.2*'Бали кандидатів'!$B$6+0.2*'Бали кандидатів'!$B$7+O52*'Бали кандидатів'!$B$9+P52*'Бали кандидатів'!$B$10+Q52*'Бали кандидатів'!$B$11</f>
        <v/>
      </c>
      <c r="U52" s="58">
        <f>0.2*'Бали кандидатів'!$C$6+0.2*'Бали кандидатів'!$C$7+O52*'Бали кандидатів'!$C$9+P52*'Бали кандидатів'!$C$10+Q52*'Бали кандидатів'!$C$11</f>
        <v/>
      </c>
      <c r="V52" s="59">
        <f>IF('Бали кандидатів'!$B$14&gt;=300,"OK","НЕ ДОПУЩЕНО")</f>
        <v/>
      </c>
      <c r="W52" s="59">
        <f>IF('Бали кандидатів'!$C$14&gt;=300,"OK","НЕ ДОПУЩЕНО")</f>
        <v/>
      </c>
      <c r="X52" s="52">
        <f>IF(AND(OR(R52="—",'Бали кандидатів'!$B$9&gt;=R52),OR(S52="—",'Бали кандидатів'!$B$10&gt;=S52)),"проходить","НИЖЧЕ мін. балу")</f>
        <v/>
      </c>
      <c r="Y52" s="55">
        <f>IF(AND(OR(R52="—",'Бали кандидатів'!$C$9&gt;=R52),OR(S52="—",'Бали кандидатів'!$C$10&gt;=S52)),"проходить","НИЖЧЕ мін. балу")</f>
        <v/>
      </c>
      <c r="Z52" s="55" t="inlineStr">
        <is>
          <t>Тільки іспит зі спеціальності</t>
        </is>
      </c>
      <c r="AA52" s="60" t="n"/>
      <c r="AB52" s="60" t="n"/>
      <c r="AC52" s="52" t="n"/>
      <c r="AD52" s="60" t="n"/>
      <c r="AE52" s="52" t="inlineStr">
        <is>
          <t>https://vstup.osvita.ua/r19/168/entrance.html</t>
        </is>
      </c>
      <c r="AF52" s="60" t="inlineStr">
        <is>
          <t>https://vstup.osvita.ua/y2026/r19/168/1608466/</t>
        </is>
      </c>
      <c r="AG52" s="60" t="n"/>
      <c r="AH52" s="60" t="n"/>
      <c r="AI52" s="52" t="n"/>
      <c r="AJ52" s="37" t="inlineStr"/>
      <c r="AK52" s="37" t="inlineStr"/>
      <c r="AL52" s="37" t="inlineStr"/>
      <c r="AM52" s="37">
        <f>IF(AJ52="","дані ще не вивантажені",IF('Бали кандидатів'!$B$7&gt;=AJ52,"проходить","НЕ проходить за ЄВВ"))</f>
        <v/>
      </c>
      <c r="AN52" s="37">
        <f>IF(AJ52="","дані ще не вивантажені",IF('Бали кандидатів'!$C$7&gt;=AJ52,"проходить","НЕ проходить за ЄВВ"))</f>
        <v/>
      </c>
    </row>
    <row r="53" ht="15" customHeight="1" s="38">
      <c r="A53" s="51" t="inlineStr">
        <is>
          <t>F3 Комп'ютерні науки</t>
        </is>
      </c>
      <c r="B53" s="52" t="inlineStr">
        <is>
          <t>Національний транспортний університет</t>
        </is>
      </c>
      <c r="C53" s="52" t="inlineStr">
        <is>
          <t>Київ</t>
        </is>
      </c>
      <c r="D53" s="53" t="inlineStr">
        <is>
          <t>Київ</t>
        </is>
      </c>
      <c r="E53" s="54" t="inlineStr">
        <is>
          <t>ТАК</t>
        </is>
      </c>
      <c r="F53" s="53" t="inlineStr">
        <is>
          <t>Фіксована</t>
        </is>
      </c>
      <c r="G53" s="55" t="inlineStr">
        <is>
          <t>ні</t>
        </is>
      </c>
      <c r="H53" s="52" t="n"/>
      <c r="I53" s="52" t="inlineStr">
        <is>
          <t>Комп'ютерні науки</t>
        </is>
      </c>
      <c r="J53" s="52" t="n"/>
      <c r="K53" s="52" t="n">
        <v>6</v>
      </c>
      <c r="L53" s="52" t="n">
        <v>15</v>
      </c>
      <c r="M53" s="56">
        <f>IF(K53=0,"н/д",L53/K53)</f>
        <v/>
      </c>
      <c r="N53" s="52" t="inlineStr">
        <is>
          <t>26.08.2026</t>
        </is>
      </c>
      <c r="O53" s="57" t="n">
        <v>0.6</v>
      </c>
      <c r="P53" s="57" t="n">
        <v>0</v>
      </c>
      <c r="Q53" s="57" t="n">
        <v>0</v>
      </c>
      <c r="R53" s="52" t="n">
        <v>100</v>
      </c>
      <c r="S53" s="52" t="inlineStr">
        <is>
          <t>—</t>
        </is>
      </c>
      <c r="T53" s="58">
        <f>0.2*'Бали кандидатів'!$B$6+0.2*'Бали кандидатів'!$B$7+O53*'Бали кандидатів'!$B$9+P53*'Бали кандидатів'!$B$10+Q53*'Бали кандидатів'!$B$11</f>
        <v/>
      </c>
      <c r="U53" s="58">
        <f>0.2*'Бали кандидатів'!$C$6+0.2*'Бали кандидатів'!$C$7+O53*'Бали кандидатів'!$C$9+P53*'Бали кандидатів'!$C$10+Q53*'Бали кандидатів'!$C$11</f>
        <v/>
      </c>
      <c r="V53" s="59">
        <f>IF('Бали кандидатів'!$B$14&gt;=300,"OK","НЕ ДОПУЩЕНО")</f>
        <v/>
      </c>
      <c r="W53" s="59">
        <f>IF('Бали кандидатів'!$C$14&gt;=300,"OK","НЕ ДОПУЩЕНО")</f>
        <v/>
      </c>
      <c r="X53" s="52">
        <f>IF(AND(OR(R53="—",'Бали кандидатів'!$B$9&gt;=R53),OR(S53="—",'Бали кандидатів'!$B$10&gt;=S53)),"проходить","НИЖЧЕ мін. балу")</f>
        <v/>
      </c>
      <c r="Y53" s="55">
        <f>IF(AND(OR(R53="—",'Бали кандидатів'!$C$9&gt;=R53),OR(S53="—",'Бали кандидатів'!$C$10&gt;=S53)),"проходить","НИЖЧЕ мін. балу")</f>
        <v/>
      </c>
      <c r="Z53" s="55" t="inlineStr">
        <is>
          <t>Тільки іспит зі спеціальності</t>
        </is>
      </c>
      <c r="AA53" s="60" t="n"/>
      <c r="AB53" s="60" t="n"/>
      <c r="AC53" s="52" t="n"/>
      <c r="AD53" s="60" t="n"/>
      <c r="AE53" s="52" t="inlineStr">
        <is>
          <t>https://vstup.osvita.ua/r27/24/entrance.html</t>
        </is>
      </c>
      <c r="AF53" s="60" t="inlineStr">
        <is>
          <t>https://vstup.osvita.ua/y2026/r27/24/1649949/</t>
        </is>
      </c>
      <c r="AG53" s="60" t="n"/>
      <c r="AH53" s="60" t="n"/>
      <c r="AI53" s="52" t="n"/>
      <c r="AJ53" s="37" t="inlineStr"/>
      <c r="AK53" s="37" t="inlineStr"/>
      <c r="AL53" s="37" t="inlineStr"/>
      <c r="AM53" s="37">
        <f>IF(AJ53="","дані ще не вивантажені",IF('Бали кандидатів'!$B$7&gt;=AJ53,"проходить","НЕ проходить за ЄВВ"))</f>
        <v/>
      </c>
      <c r="AN53" s="37">
        <f>IF(AJ53="","дані ще не вивантажені",IF('Бали кандидатів'!$C$7&gt;=AJ53,"проходить","НЕ проходить за ЄВВ"))</f>
        <v/>
      </c>
    </row>
    <row r="54" ht="26.85" customHeight="1" s="38">
      <c r="A54" s="51" t="inlineStr">
        <is>
          <t>F3 Комп'ютерні науки</t>
        </is>
      </c>
      <c r="B54" s="52" t="inlineStr">
        <is>
          <t>Кременчуцький національний університет ім. М. Остроградського</t>
        </is>
      </c>
      <c r="C54" s="52" t="inlineStr">
        <is>
          <t>Кременчук</t>
        </is>
      </c>
      <c r="D54" s="53" t="inlineStr">
        <is>
          <t>Полтавська</t>
        </is>
      </c>
      <c r="E54" s="54" t="inlineStr">
        <is>
          <t>ТАК</t>
        </is>
      </c>
      <c r="F54" s="53" t="inlineStr">
        <is>
          <t>Фіксована</t>
        </is>
      </c>
      <c r="G54" s="55" t="inlineStr">
        <is>
          <t>ні</t>
        </is>
      </c>
      <c r="H54" s="52" t="n"/>
      <c r="I54" s="52" t="inlineStr">
        <is>
          <t>Комп'ютерні науки</t>
        </is>
      </c>
      <c r="J54" s="52" t="inlineStr">
        <is>
          <t>Електричної інженерії та ІТ</t>
        </is>
      </c>
      <c r="K54" s="52" t="n">
        <v>2</v>
      </c>
      <c r="L54" s="52" t="n">
        <v>5</v>
      </c>
      <c r="M54" s="56">
        <f>IF(K54=0,"н/д",L54/K54)</f>
        <v/>
      </c>
      <c r="N54" s="52" t="inlineStr">
        <is>
          <t>26.08.2026</t>
        </is>
      </c>
      <c r="O54" s="57" t="n">
        <v>0.3</v>
      </c>
      <c r="P54" s="57" t="n">
        <v>0.3</v>
      </c>
      <c r="Q54" s="57" t="n">
        <v>0</v>
      </c>
      <c r="R54" s="52" t="inlineStr">
        <is>
          <t>—</t>
        </is>
      </c>
      <c r="S54" s="52" t="inlineStr">
        <is>
          <t>—</t>
        </is>
      </c>
      <c r="T54" s="58">
        <f>0.2*'Бали кандидатів'!$B$6+0.2*'Бали кандидатів'!$B$7+O54*'Бали кандидатів'!$B$9+P54*'Бали кандидатів'!$B$10+Q54*'Бали кандидатів'!$B$11</f>
        <v/>
      </c>
      <c r="U54" s="58">
        <f>0.2*'Бали кандидатів'!$C$6+0.2*'Бали кандидатів'!$C$7+O54*'Бали кандидатів'!$C$9+P54*'Бали кандидатів'!$C$10+Q54*'Бали кандидатів'!$C$11</f>
        <v/>
      </c>
      <c r="V54" s="59">
        <f>IF('Бали кандидатів'!$B$14&gt;=300,"OK","НЕ ДОПУЩЕНО")</f>
        <v/>
      </c>
      <c r="W54" s="59">
        <f>IF('Бали кандидатів'!$C$14&gt;=300,"OK","НЕ ДОПУЩЕНО")</f>
        <v/>
      </c>
      <c r="X54" s="52">
        <f>IF(AND(OR(R54="—",'Бали кандидатів'!$B$9&gt;=R54),OR(S54="—",'Бали кандидатів'!$B$10&gt;=S54)),"проходить","НИЖЧЕ мін. балу")</f>
        <v/>
      </c>
      <c r="Y54" s="55">
        <f>IF(AND(OR(R54="—",'Бали кандидатів'!$C$9&gt;=R54),OR(S54="—",'Бали кандидатів'!$C$10&gt;=S54)),"проходить","НИЖЧЕ мін. балу")</f>
        <v/>
      </c>
      <c r="Z54" s="55" t="inlineStr">
        <is>
          <t>Дослідницька пропозиція важить більше або нарівні з іспитом</t>
        </is>
      </c>
      <c r="AA54" s="60" t="n"/>
      <c r="AB54" s="60" t="n"/>
      <c r="AC54" s="52" t="n"/>
      <c r="AD54" s="60" t="n"/>
      <c r="AE54" s="52" t="inlineStr">
        <is>
          <t>https://vstup.osvita.ua/r17/218/entrance.html</t>
        </is>
      </c>
      <c r="AF54" s="60" t="inlineStr">
        <is>
          <t>https://vstup.osvita.ua/y2026/r17/218/1653028/</t>
        </is>
      </c>
      <c r="AG54" s="60" t="n"/>
      <c r="AH54" s="60" t="n"/>
      <c r="AI54" s="52" t="n"/>
      <c r="AJ54" s="37" t="inlineStr"/>
      <c r="AK54" s="37" t="inlineStr"/>
      <c r="AL54" s="37" t="inlineStr"/>
      <c r="AM54" s="37">
        <f>IF(AJ54="","дані ще не вивантажені",IF('Бали кандидатів'!$B$7&gt;=AJ54,"проходить","НЕ проходить за ЄВВ"))</f>
        <v/>
      </c>
      <c r="AN54" s="37">
        <f>IF(AJ54="","дані ще не вивантажені",IF('Бали кандидатів'!$C$7&gt;=AJ54,"проходить","НЕ проходить за ЄВВ"))</f>
        <v/>
      </c>
    </row>
    <row r="55" ht="26.85" customHeight="1" s="38">
      <c r="A55" s="51" t="inlineStr">
        <is>
          <t>F4 Системний аналіз</t>
        </is>
      </c>
      <c r="B55" s="52" t="inlineStr">
        <is>
          <t>Тернопільський національний технічний університет ім. І. Пулюя</t>
        </is>
      </c>
      <c r="C55" s="52" t="inlineStr">
        <is>
          <t>Тернопіль</t>
        </is>
      </c>
      <c r="D55" s="53" t="inlineStr">
        <is>
          <t>Тернопільська</t>
        </is>
      </c>
      <c r="E55" s="54" t="inlineStr">
        <is>
          <t>ТАК</t>
        </is>
      </c>
      <c r="F55" s="53" t="inlineStr">
        <is>
          <t>Фіксована</t>
        </is>
      </c>
      <c r="G55" s="55" t="inlineStr">
        <is>
          <t>ні</t>
        </is>
      </c>
      <c r="H55" s="52" t="n"/>
      <c r="I55" s="52" t="inlineStr">
        <is>
          <t>Штучний інтелект і технології аналізу даних</t>
        </is>
      </c>
      <c r="J55" s="52" t="n"/>
      <c r="K55" s="52" t="n">
        <v>2</v>
      </c>
      <c r="L55" s="52" t="n">
        <v>5</v>
      </c>
      <c r="M55" s="56">
        <f>IF(K55=0,"н/д",L55/K55)</f>
        <v/>
      </c>
      <c r="N55" s="52" t="inlineStr">
        <is>
          <t>26.08.2026</t>
        </is>
      </c>
      <c r="O55" s="63" t="inlineStr">
        <is>
          <t>?</t>
        </is>
      </c>
      <c r="P55" s="63" t="inlineStr">
        <is>
          <t>?</t>
        </is>
      </c>
      <c r="Q55" s="63" t="inlineStr">
        <is>
          <t>?</t>
        </is>
      </c>
      <c r="R55" s="52" t="inlineStr">
        <is>
          <t>?</t>
        </is>
      </c>
      <c r="S55" s="52" t="inlineStr">
        <is>
          <t>?</t>
        </is>
      </c>
      <c r="T55" s="64" t="inlineStr">
        <is>
          <t>ваги невідомі</t>
        </is>
      </c>
      <c r="U55" s="64" t="inlineStr">
        <is>
          <t>ваги невідомі</t>
        </is>
      </c>
      <c r="V55" s="59">
        <f>IF('Бали кандидатів'!$B$14&gt;=300,"OK","НЕ ДОПУЩЕНО")</f>
        <v/>
      </c>
      <c r="W55" s="59">
        <f>IF('Бали кандидатів'!$C$14&gt;=300,"OK","НЕ ДОПУЩЕНО")</f>
        <v/>
      </c>
      <c r="X55" s="52" t="inlineStr">
        <is>
          <t>—</t>
        </is>
      </c>
      <c r="Y55" s="55" t="inlineStr">
        <is>
          <t>—</t>
        </is>
      </c>
      <c r="Z55" s="55" t="inlineStr">
        <is>
          <t>ваги не зчитані — уточнити на сторінці пропозиції</t>
        </is>
      </c>
      <c r="AA55" s="60" t="inlineStr">
        <is>
          <t>Складові конкурсного бала у вихідних даних відсутні — відкрити «Детальніше» на сторінці ЗВО</t>
        </is>
      </c>
      <c r="AB55" s="60" t="n"/>
      <c r="AC55" s="52" t="n"/>
      <c r="AD55" s="60" t="n"/>
      <c r="AE55" s="52" t="inlineStr">
        <is>
          <t>https://vstup.osvita.ua/r20/166/entrance.html</t>
        </is>
      </c>
      <c r="AF55" s="60" t="inlineStr">
        <is>
          <t>https://vstup.osvita.ua/r20/166/</t>
        </is>
      </c>
      <c r="AG55" s="60" t="n"/>
      <c r="AH55" s="60" t="n"/>
      <c r="AI55" s="52" t="n"/>
      <c r="AJ55" s="37" t="inlineStr"/>
      <c r="AK55" s="37" t="inlineStr"/>
      <c r="AL55" s="37" t="inlineStr"/>
      <c r="AM55" s="37">
        <f>IF(AJ55="","дані ще не вивантажені",IF('Бали кандидатів'!$B$7&gt;=AJ55,"проходить","НЕ проходить за ЄВВ"))</f>
        <v/>
      </c>
      <c r="AN55" s="37">
        <f>IF(AJ55="","дані ще не вивантажені",IF('Бали кандидатів'!$C$7&gt;=AJ55,"проходить","НЕ проходить за ЄВВ"))</f>
        <v/>
      </c>
    </row>
    <row r="56" ht="15" customHeight="1" s="38">
      <c r="A56" s="51" t="inlineStr">
        <is>
          <t>F3 Комп'ютерні науки</t>
        </is>
      </c>
      <c r="B56" s="52" t="inlineStr">
        <is>
          <t>НУ «Львівська політехніка»</t>
        </is>
      </c>
      <c r="C56" s="52" t="inlineStr">
        <is>
          <t>Львів</t>
        </is>
      </c>
      <c r="D56" s="53" t="inlineStr">
        <is>
          <t>Львівська</t>
        </is>
      </c>
      <c r="E56" s="54" t="inlineStr">
        <is>
          <t>ТАК</t>
        </is>
      </c>
      <c r="F56" s="53" t="inlineStr">
        <is>
          <t>Фіксована</t>
        </is>
      </c>
      <c r="G56" s="55" t="inlineStr">
        <is>
          <t>ні</t>
        </is>
      </c>
      <c r="H56" s="52" t="n"/>
      <c r="I56" s="52" t="inlineStr">
        <is>
          <t>Комп'ютерні науки</t>
        </is>
      </c>
      <c r="J56" s="52" t="inlineStr">
        <is>
          <t>Інститут комп. наук та інформаційних технологій</t>
        </is>
      </c>
      <c r="K56" s="52" t="n">
        <v>43</v>
      </c>
      <c r="L56" s="52" t="n">
        <v>111</v>
      </c>
      <c r="M56" s="56">
        <f>IF(K56=0,"н/д",L56/K56)</f>
        <v/>
      </c>
      <c r="N56" s="52" t="inlineStr">
        <is>
          <t>26.08.2026</t>
        </is>
      </c>
      <c r="O56" s="57" t="n">
        <v>0.6</v>
      </c>
      <c r="P56" s="57" t="n">
        <v>0</v>
      </c>
      <c r="Q56" s="57" t="n">
        <v>0</v>
      </c>
      <c r="R56" s="52" t="n">
        <v>110</v>
      </c>
      <c r="S56" s="52" t="inlineStr">
        <is>
          <t>—</t>
        </is>
      </c>
      <c r="T56" s="58">
        <f>0.2*'Бали кандидатів'!$B$6+0.2*'Бали кандидатів'!$B$7+O56*'Бали кандидатів'!$B$9+P56*'Бали кандидатів'!$B$10+Q56*'Бали кандидатів'!$B$11</f>
        <v/>
      </c>
      <c r="U56" s="58">
        <f>0.2*'Бали кандидатів'!$C$6+0.2*'Бали кандидатів'!$C$7+O56*'Бали кандидатів'!$C$9+P56*'Бали кандидатів'!$C$10+Q56*'Бали кандидатів'!$C$11</f>
        <v/>
      </c>
      <c r="V56" s="59">
        <f>IF('Бали кандидатів'!$B$14&gt;=300,"OK","НЕ ДОПУЩЕНО")</f>
        <v/>
      </c>
      <c r="W56" s="59">
        <f>IF('Бали кандидатів'!$C$14&gt;=300,"OK","НЕ ДОПУЩЕНО")</f>
        <v/>
      </c>
      <c r="X56" s="52">
        <f>IF(AND(OR(R56="—",'Бали кандидатів'!$B$9&gt;=R56),OR(S56="—",'Бали кандидатів'!$B$10&gt;=S56)),"проходить","НИЖЧЕ мін. балу")</f>
        <v/>
      </c>
      <c r="Y56" s="55">
        <f>IF(AND(OR(R56="—",'Бали кандидатів'!$C$9&gt;=R56),OR(S56="—",'Бали кандидатів'!$C$10&gt;=S56)),"проходить","НИЖЧЕ мін. балу")</f>
        <v/>
      </c>
      <c r="Z56" s="55" t="inlineStr">
        <is>
          <t>Тільки іспит зі спеціальності</t>
        </is>
      </c>
      <c r="AA56" s="54" t="n"/>
      <c r="AB56" s="54" t="inlineStr">
        <is>
          <t>09.09.2026</t>
        </is>
      </c>
      <c r="AC56" s="52" t="inlineStr">
        <is>
          <t>14:30</t>
        </is>
      </c>
      <c r="AD56" s="60" t="inlineStr">
        <is>
          <t>I навчальний корпус, вул. Старосольських 2/4, Львів (ІКНІ)</t>
        </is>
      </c>
      <c r="AE56" s="52" t="inlineStr">
        <is>
          <t>https://vstup.osvita.ua/r14/97/entrance.html</t>
        </is>
      </c>
      <c r="AF56" s="60" t="inlineStr">
        <is>
          <t>https://vstup.osvita.ua/y2026/r14/97/1645691/</t>
        </is>
      </c>
      <c r="AG56" s="60" t="n"/>
      <c r="AH56" s="60" t="n"/>
      <c r="AI56" s="52" t="n"/>
      <c r="AJ56" s="37" t="inlineStr"/>
      <c r="AK56" s="37" t="inlineStr"/>
      <c r="AL56" s="37" t="inlineStr"/>
      <c r="AM56" s="37">
        <f>IF(AJ56="","дані ще не вивантажені",IF('Бали кандидатів'!$B$7&gt;=AJ56,"проходить","НЕ проходить за ЄВВ"))</f>
        <v/>
      </c>
      <c r="AN56" s="37">
        <f>IF(AJ56="","дані ще не вивантажені",IF('Бали кандидатів'!$C$7&gt;=AJ56,"проходить","НЕ проходить за ЄВВ"))</f>
        <v/>
      </c>
    </row>
    <row r="57" ht="15" customHeight="1" s="38">
      <c r="A57" s="51" t="inlineStr">
        <is>
          <t>F3 Комп'ютерні науки</t>
        </is>
      </c>
      <c r="B57" s="52" t="inlineStr">
        <is>
          <t>Національний університет харчових технологій</t>
        </is>
      </c>
      <c r="C57" s="52" t="inlineStr">
        <is>
          <t>Київ</t>
        </is>
      </c>
      <c r="D57" s="53" t="inlineStr">
        <is>
          <t>Київ</t>
        </is>
      </c>
      <c r="E57" s="54" t="inlineStr">
        <is>
          <t>ТАК</t>
        </is>
      </c>
      <c r="F57" s="53" t="inlineStr">
        <is>
          <t>Фіксована</t>
        </is>
      </c>
      <c r="G57" s="55" t="inlineStr">
        <is>
          <t>ні</t>
        </is>
      </c>
      <c r="H57" s="52" t="n"/>
      <c r="I57" s="52" t="inlineStr">
        <is>
          <t>Комп'ютерні науки</t>
        </is>
      </c>
      <c r="J57" s="52" t="inlineStr">
        <is>
          <t>Автоматизації і комп'ютерних систем</t>
        </is>
      </c>
      <c r="K57" s="52" t="n">
        <v>11</v>
      </c>
      <c r="L57" s="52" t="n">
        <v>29</v>
      </c>
      <c r="M57" s="56">
        <f>IF(K57=0,"н/д",L57/K57)</f>
        <v/>
      </c>
      <c r="N57" s="52" t="inlineStr">
        <is>
          <t>26.08.2026</t>
        </is>
      </c>
      <c r="O57" s="57" t="n">
        <v>0.6</v>
      </c>
      <c r="P57" s="57" t="n">
        <v>0</v>
      </c>
      <c r="Q57" s="57" t="n">
        <v>0</v>
      </c>
      <c r="R57" s="52" t="inlineStr">
        <is>
          <t>—</t>
        </is>
      </c>
      <c r="S57" s="52" t="inlineStr">
        <is>
          <t>—</t>
        </is>
      </c>
      <c r="T57" s="58">
        <f>0.2*'Бали кандидатів'!$B$6+0.2*'Бали кандидатів'!$B$7+O57*'Бали кандидатів'!$B$9+P57*'Бали кандидатів'!$B$10+Q57*'Бали кандидатів'!$B$11</f>
        <v/>
      </c>
      <c r="U57" s="58">
        <f>0.2*'Бали кандидатів'!$C$6+0.2*'Бали кандидатів'!$C$7+O57*'Бали кандидатів'!$C$9+P57*'Бали кандидатів'!$C$10+Q57*'Бали кандидатів'!$C$11</f>
        <v/>
      </c>
      <c r="V57" s="59">
        <f>IF('Бали кандидатів'!$B$14&gt;=300,"OK","НЕ ДОПУЩЕНО")</f>
        <v/>
      </c>
      <c r="W57" s="59">
        <f>IF('Бали кандидатів'!$C$14&gt;=300,"OK","НЕ ДОПУЩЕНО")</f>
        <v/>
      </c>
      <c r="X57" s="52">
        <f>IF(AND(OR(R57="—",'Бали кандидатів'!$B$9&gt;=R57),OR(S57="—",'Бали кандидатів'!$B$10&gt;=S57)),"проходить","НИЖЧЕ мін. балу")</f>
        <v/>
      </c>
      <c r="Y57" s="55">
        <f>IF(AND(OR(R57="—",'Бали кандидатів'!$C$9&gt;=R57),OR(S57="—",'Бали кандидатів'!$C$10&gt;=S57)),"проходить","НИЖЧЕ мін. балу")</f>
        <v/>
      </c>
      <c r="Z57" s="55" t="inlineStr">
        <is>
          <t>Тільки іспит зі спеціальності</t>
        </is>
      </c>
      <c r="AA57" s="60" t="n"/>
      <c r="AB57" s="60" t="n"/>
      <c r="AC57" s="52" t="n"/>
      <c r="AD57" s="60" t="n"/>
      <c r="AE57" s="52" t="inlineStr">
        <is>
          <t>https://vstup.osvita.ua/r27/47/entrance.html</t>
        </is>
      </c>
      <c r="AF57" s="60" t="inlineStr">
        <is>
          <t>https://vstup.osvita.ua/y2026/r27/47/1648123/</t>
        </is>
      </c>
      <c r="AG57" s="60" t="n"/>
      <c r="AH57" s="60" t="n"/>
      <c r="AI57" s="52" t="n"/>
      <c r="AJ57" s="37" t="inlineStr"/>
      <c r="AK57" s="37" t="inlineStr"/>
      <c r="AL57" s="37" t="inlineStr"/>
      <c r="AM57" s="37">
        <f>IF(AJ57="","дані ще не вивантажені",IF('Бали кандидатів'!$B$7&gt;=AJ57,"проходить","НЕ проходить за ЄВВ"))</f>
        <v/>
      </c>
      <c r="AN57" s="37">
        <f>IF(AJ57="","дані ще не вивантажені",IF('Бали кандидатів'!$C$7&gt;=AJ57,"проходить","НЕ проходить за ЄВВ"))</f>
        <v/>
      </c>
    </row>
    <row r="58" ht="15" customHeight="1" s="38">
      <c r="A58" s="51" t="inlineStr">
        <is>
          <t>F3 Комп'ютерні науки</t>
        </is>
      </c>
      <c r="B58" s="52" t="inlineStr">
        <is>
          <t>НУ «Одеська політехніка»</t>
        </is>
      </c>
      <c r="C58" s="52" t="inlineStr">
        <is>
          <t>Одеса</t>
        </is>
      </c>
      <c r="D58" s="53" t="inlineStr">
        <is>
          <t>Одеська</t>
        </is>
      </c>
      <c r="E58" s="54" t="inlineStr">
        <is>
          <t>ТАК</t>
        </is>
      </c>
      <c r="F58" s="53" t="inlineStr">
        <is>
          <t>Фіксована</t>
        </is>
      </c>
      <c r="G58" s="55" t="inlineStr">
        <is>
          <t>ні</t>
        </is>
      </c>
      <c r="H58" s="52" t="n"/>
      <c r="I58" s="52" t="inlineStr">
        <is>
          <t>Комп'ютерні науки</t>
        </is>
      </c>
      <c r="J58" s="52" t="inlineStr">
        <is>
          <t>Відділ аспірантури і докторантури</t>
        </is>
      </c>
      <c r="K58" s="52" t="n">
        <v>12</v>
      </c>
      <c r="L58" s="52" t="n">
        <v>32</v>
      </c>
      <c r="M58" s="56">
        <f>IF(K58=0,"н/д",L58/K58)</f>
        <v/>
      </c>
      <c r="N58" s="52" t="inlineStr">
        <is>
          <t>26.08.2026</t>
        </is>
      </c>
      <c r="O58" s="57" t="n">
        <v>0.6</v>
      </c>
      <c r="P58" s="57" t="n">
        <v>0</v>
      </c>
      <c r="Q58" s="57" t="n">
        <v>0</v>
      </c>
      <c r="R58" s="52" t="inlineStr">
        <is>
          <t>—</t>
        </is>
      </c>
      <c r="S58" s="52" t="inlineStr">
        <is>
          <t>—</t>
        </is>
      </c>
      <c r="T58" s="58">
        <f>0.2*'Бали кандидатів'!$B$6+0.2*'Бали кандидатів'!$B$7+O58*'Бали кандидатів'!$B$9+P58*'Бали кандидатів'!$B$10+Q58*'Бали кандидатів'!$B$11</f>
        <v/>
      </c>
      <c r="U58" s="58">
        <f>0.2*'Бали кандидатів'!$C$6+0.2*'Бали кандидатів'!$C$7+O58*'Бали кандидатів'!$C$9+P58*'Бали кандидатів'!$C$10+Q58*'Бали кандидатів'!$C$11</f>
        <v/>
      </c>
      <c r="V58" s="59">
        <f>IF('Бали кандидатів'!$B$14&gt;=300,"OK","НЕ ДОПУЩЕНО")</f>
        <v/>
      </c>
      <c r="W58" s="59">
        <f>IF('Бали кандидатів'!$C$14&gt;=300,"OK","НЕ ДОПУЩЕНО")</f>
        <v/>
      </c>
      <c r="X58" s="52">
        <f>IF(AND(OR(R58="—",'Бали кандидатів'!$B$9&gt;=R58),OR(S58="—",'Бали кандидатів'!$B$10&gt;=S58)),"проходить","НИЖЧЕ мін. балу")</f>
        <v/>
      </c>
      <c r="Y58" s="55">
        <f>IF(AND(OR(R58="—",'Бали кандидатів'!$C$9&gt;=R58),OR(S58="—",'Бали кандидатів'!$C$10&gt;=S58)),"проходить","НИЖЧЕ мін. балу")</f>
        <v/>
      </c>
      <c r="Z58" s="55" t="inlineStr">
        <is>
          <t>Тільки іспит зі спеціальності</t>
        </is>
      </c>
      <c r="AA58" s="60" t="n"/>
      <c r="AB58" s="60" t="n"/>
      <c r="AC58" s="52" t="n"/>
      <c r="AD58" s="60" t="n"/>
      <c r="AE58" s="52" t="inlineStr">
        <is>
          <t>https://vstup.osvita.ua/r16/5754/entrance.html</t>
        </is>
      </c>
      <c r="AF58" s="60" t="inlineStr">
        <is>
          <t>https://vstup.osvita.ua/y2026/r16/5754/1671203/</t>
        </is>
      </c>
      <c r="AG58" s="60" t="n"/>
      <c r="AH58" s="60" t="n"/>
      <c r="AI58" s="52" t="n"/>
      <c r="AJ58" s="37" t="inlineStr"/>
      <c r="AK58" s="37" t="inlineStr"/>
      <c r="AL58" s="37" t="inlineStr"/>
      <c r="AM58" s="37">
        <f>IF(AJ58="","дані ще не вивантажені",IF('Бали кандидатів'!$B$7&gt;=AJ58,"проходить","НЕ проходить за ЄВВ"))</f>
        <v/>
      </c>
      <c r="AN58" s="37">
        <f>IF(AJ58="","дані ще не вивантажені",IF('Бали кандидатів'!$C$7&gt;=AJ58,"проходить","НЕ проходить за ЄВВ"))</f>
        <v/>
      </c>
    </row>
    <row r="59" ht="15" customHeight="1" s="38">
      <c r="A59" s="51" t="inlineStr">
        <is>
          <t>F3 Комп'ютерні науки</t>
        </is>
      </c>
      <c r="B59" s="52" t="inlineStr">
        <is>
          <t>НУ кораблебудування ім. адмірала Макарова</t>
        </is>
      </c>
      <c r="C59" s="52" t="inlineStr">
        <is>
          <t>Миколаїв</t>
        </is>
      </c>
      <c r="D59" s="53" t="inlineStr">
        <is>
          <t>Миколаївська</t>
        </is>
      </c>
      <c r="E59" s="54" t="inlineStr">
        <is>
          <t>ТАК</t>
        </is>
      </c>
      <c r="F59" s="53" t="inlineStr">
        <is>
          <t>Фіксована</t>
        </is>
      </c>
      <c r="G59" s="55" t="inlineStr">
        <is>
          <t>ні</t>
        </is>
      </c>
      <c r="H59" s="52" t="n"/>
      <c r="I59" s="52" t="inlineStr">
        <is>
          <t>Комп'ютерні науки</t>
        </is>
      </c>
      <c r="J59" s="52" t="inlineStr">
        <is>
          <t>ННІ комп. наук та управління проєктами</t>
        </is>
      </c>
      <c r="K59" s="52" t="n">
        <v>9</v>
      </c>
      <c r="L59" s="61" t="n">
        <v>24</v>
      </c>
      <c r="M59" s="56">
        <f>IF(K59=0,"н/д",L59/K59)</f>
        <v/>
      </c>
      <c r="N59" s="62" t="inlineStr">
        <is>
          <t>25.08.2026 (застаріле)</t>
        </is>
      </c>
      <c r="O59" s="57" t="n">
        <v>0.6</v>
      </c>
      <c r="P59" s="57" t="n">
        <v>0</v>
      </c>
      <c r="Q59" s="57" t="n">
        <v>0</v>
      </c>
      <c r="R59" s="52" t="inlineStr">
        <is>
          <t>—</t>
        </is>
      </c>
      <c r="S59" s="52" t="inlineStr">
        <is>
          <t>—</t>
        </is>
      </c>
      <c r="T59" s="58">
        <f>0.2*'Бали кандидатів'!$B$6+0.2*'Бали кандидатів'!$B$7+O59*'Бали кандидатів'!$B$9+P59*'Бали кандидатів'!$B$10+Q59*'Бали кандидатів'!$B$11</f>
        <v/>
      </c>
      <c r="U59" s="58">
        <f>0.2*'Бали кандидатів'!$C$6+0.2*'Бали кандидатів'!$C$7+O59*'Бали кандидатів'!$C$9+P59*'Бали кандидатів'!$C$10+Q59*'Бали кандидатів'!$C$11</f>
        <v/>
      </c>
      <c r="V59" s="59">
        <f>IF('Бали кандидатів'!$B$14&gt;=300,"OK","НЕ ДОПУЩЕНО")</f>
        <v/>
      </c>
      <c r="W59" s="59">
        <f>IF('Бали кандидатів'!$C$14&gt;=300,"OK","НЕ ДОПУЩЕНО")</f>
        <v/>
      </c>
      <c r="X59" s="52">
        <f>IF(AND(OR(R59="—",'Бали кандидатів'!$B$9&gt;=R59),OR(S59="—",'Бали кандидатів'!$B$10&gt;=S59)),"проходить","НИЖЧЕ мін. балу")</f>
        <v/>
      </c>
      <c r="Y59" s="55">
        <f>IF(AND(OR(R59="—",'Бали кандидатів'!$C$9&gt;=R59),OR(S59="—",'Бали кандидатів'!$C$10&gt;=S59)),"проходить","НИЖЧЕ мін. балу")</f>
        <v/>
      </c>
      <c r="Z59" s="55" t="inlineStr">
        <is>
          <t>Тільки іспит зі спеціальності</t>
        </is>
      </c>
      <c r="AA59" s="60" t="n"/>
      <c r="AB59" s="60" t="n"/>
      <c r="AC59" s="52" t="n"/>
      <c r="AD59" s="60" t="n"/>
      <c r="AE59" s="52" t="inlineStr">
        <is>
          <t>https://vstup.osvita.ua/r15/105/entrance.html</t>
        </is>
      </c>
      <c r="AF59" s="60" t="inlineStr">
        <is>
          <t>https://vstup.osvita.ua/y2026/r15/105/1643847/</t>
        </is>
      </c>
      <c r="AG59" s="60" t="n"/>
      <c r="AH59" s="60" t="n"/>
      <c r="AI59" s="52" t="n"/>
      <c r="AJ59" s="37" t="inlineStr"/>
      <c r="AK59" s="37" t="inlineStr"/>
      <c r="AL59" s="37" t="inlineStr"/>
      <c r="AM59" s="37">
        <f>IF(AJ59="","дані ще не вивантажені",IF('Бали кандидатів'!$B$7&gt;=AJ59,"проходить","НЕ проходить за ЄВВ"))</f>
        <v/>
      </c>
      <c r="AN59" s="37">
        <f>IF(AJ59="","дані ще не вивантажені",IF('Бали кандидатів'!$C$7&gt;=AJ59,"проходить","НЕ проходить за ЄВВ"))</f>
        <v/>
      </c>
    </row>
    <row r="60" ht="15" customHeight="1" s="38">
      <c r="A60" s="51" t="inlineStr">
        <is>
          <t>F3 Комп'ютерні науки</t>
        </is>
      </c>
      <c r="B60" s="52" t="inlineStr">
        <is>
          <t>Київський національний університет ім. Т. Шевченка</t>
        </is>
      </c>
      <c r="C60" s="52" t="inlineStr">
        <is>
          <t>Київ</t>
        </is>
      </c>
      <c r="D60" s="53" t="inlineStr">
        <is>
          <t>Київ</t>
        </is>
      </c>
      <c r="E60" s="54" t="inlineStr">
        <is>
          <t>ТАК</t>
        </is>
      </c>
      <c r="F60" s="53" t="inlineStr">
        <is>
          <t>Фіксована</t>
        </is>
      </c>
      <c r="G60" s="55" t="inlineStr">
        <is>
          <t>ні</t>
        </is>
      </c>
      <c r="H60" s="52" t="n"/>
      <c r="I60" s="52" t="inlineStr">
        <is>
          <t>Технології штучного інтелекту</t>
        </is>
      </c>
      <c r="J60" s="52" t="inlineStr">
        <is>
          <t>Факультет інформаційних технологій</t>
        </is>
      </c>
      <c r="K60" s="52" t="n">
        <v>9</v>
      </c>
      <c r="L60" s="61" t="n">
        <v>25</v>
      </c>
      <c r="M60" s="56">
        <f>IF(K60=0,"н/д",L60/K60)</f>
        <v/>
      </c>
      <c r="N60" s="62" t="inlineStr">
        <is>
          <t>25.08.2026 (застаріле)</t>
        </is>
      </c>
      <c r="O60" s="57" t="n">
        <v>0.6</v>
      </c>
      <c r="P60" s="57" t="n">
        <v>0</v>
      </c>
      <c r="Q60" s="57" t="n">
        <v>0</v>
      </c>
      <c r="R60" s="52" t="n">
        <v>100</v>
      </c>
      <c r="S60" s="52" t="inlineStr">
        <is>
          <t>—</t>
        </is>
      </c>
      <c r="T60" s="58">
        <f>0.2*'Бали кандидатів'!$B$6+0.2*'Бали кандидатів'!$B$7+O60*'Бали кандидатів'!$B$9+P60*'Бали кандидатів'!$B$10+Q60*'Бали кандидатів'!$B$11</f>
        <v/>
      </c>
      <c r="U60" s="58">
        <f>0.2*'Бали кандидатів'!$C$6+0.2*'Бали кандидатів'!$C$7+O60*'Бали кандидатів'!$C$9+P60*'Бали кандидатів'!$C$10+Q60*'Бали кандидатів'!$C$11</f>
        <v/>
      </c>
      <c r="V60" s="59">
        <f>IF('Бали кандидатів'!$B$14&gt;=300,"OK","НЕ ДОПУЩЕНО")</f>
        <v/>
      </c>
      <c r="W60" s="59">
        <f>IF('Бали кандидатів'!$C$14&gt;=300,"OK","НЕ ДОПУЩЕНО")</f>
        <v/>
      </c>
      <c r="X60" s="52">
        <f>IF(AND(OR(R60="—",'Бали кандидатів'!$B$9&gt;=R60),OR(S60="—",'Бали кандидатів'!$B$10&gt;=S60)),"проходить","НИЖЧЕ мін. балу")</f>
        <v/>
      </c>
      <c r="Y60" s="55">
        <f>IF(AND(OR(R60="—",'Бали кандидатів'!$C$9&gt;=R60),OR(S60="—",'Бали кандидатів'!$C$10&gt;=S60)),"проходить","НИЖЧЕ мін. балу")</f>
        <v/>
      </c>
      <c r="Z60" s="55" t="inlineStr">
        <is>
          <t>Тільки іспит зі спеціальності</t>
        </is>
      </c>
      <c r="AA60" s="60" t="n"/>
      <c r="AB60" s="60" t="n"/>
      <c r="AC60" s="52" t="n"/>
      <c r="AD60" s="60" t="n"/>
      <c r="AE60" s="52" t="inlineStr">
        <is>
          <t>https://vstup.osvita.ua/r27/41/entrance.html</t>
        </is>
      </c>
      <c r="AF60" s="60" t="inlineStr">
        <is>
          <t>https://vstup.osvita.ua/y2026/r27/41/1649273/</t>
        </is>
      </c>
      <c r="AG60" s="60" t="n"/>
      <c r="AH60" s="60" t="n"/>
      <c r="AI60" s="52" t="n"/>
      <c r="AJ60" s="37" t="inlineStr"/>
      <c r="AK60" s="37" t="inlineStr"/>
      <c r="AL60" s="37" t="inlineStr"/>
      <c r="AM60" s="37">
        <f>IF(AJ60="","дані ще не вивантажені",IF('Бали кандидатів'!$B$7&gt;=AJ60,"проходить","НЕ проходить за ЄВВ"))</f>
        <v/>
      </c>
      <c r="AN60" s="37">
        <f>IF(AJ60="","дані ще не вивантажені",IF('Бали кандидатів'!$C$7&gt;=AJ60,"проходить","НЕ проходить за ЄВВ"))</f>
        <v/>
      </c>
    </row>
    <row r="61" ht="26.85" customHeight="1" s="38">
      <c r="A61" s="51" t="inlineStr">
        <is>
          <t>F3 Комп'ютерні науки</t>
        </is>
      </c>
      <c r="B61" s="52" t="inlineStr">
        <is>
          <t>НаУКМА (Києво-Могилянська академія)</t>
        </is>
      </c>
      <c r="C61" s="52" t="inlineStr">
        <is>
          <t>Київ</t>
        </is>
      </c>
      <c r="D61" s="53" t="inlineStr">
        <is>
          <t>Київ</t>
        </is>
      </c>
      <c r="E61" s="54" t="inlineStr">
        <is>
          <t>ТАК</t>
        </is>
      </c>
      <c r="F61" s="53" t="inlineStr">
        <is>
          <t>Фіксована</t>
        </is>
      </c>
      <c r="G61" s="55" t="inlineStr">
        <is>
          <t>ні</t>
        </is>
      </c>
      <c r="H61" s="52" t="n"/>
      <c r="I61" s="52" t="inlineStr">
        <is>
          <t>Комп'ютерні науки</t>
        </is>
      </c>
      <c r="J61" s="52" t="inlineStr">
        <is>
          <t>Факультет інформатики</t>
        </is>
      </c>
      <c r="K61" s="52" t="n">
        <v>5</v>
      </c>
      <c r="L61" s="52" t="n">
        <v>14</v>
      </c>
      <c r="M61" s="56">
        <f>IF(K61=0,"н/д",L61/K61)</f>
        <v/>
      </c>
      <c r="N61" s="52" t="inlineStr">
        <is>
          <t>26.08.2026</t>
        </is>
      </c>
      <c r="O61" s="57" t="n">
        <v>0.2</v>
      </c>
      <c r="P61" s="57" t="n">
        <v>0.4</v>
      </c>
      <c r="Q61" s="57" t="n">
        <v>0</v>
      </c>
      <c r="R61" s="52" t="n">
        <v>150</v>
      </c>
      <c r="S61" s="52" t="n">
        <v>150</v>
      </c>
      <c r="T61" s="58">
        <f>0.2*'Бали кандидатів'!$B$6+0.2*'Бали кандидатів'!$B$7+O61*'Бали кандидатів'!$B$9+P61*'Бали кандидатів'!$B$10+Q61*'Бали кандидатів'!$B$11</f>
        <v/>
      </c>
      <c r="U61" s="58">
        <f>0.2*'Бали кандидатів'!$C$6+0.2*'Бали кандидатів'!$C$7+O61*'Бали кандидатів'!$C$9+P61*'Бали кандидатів'!$C$10+Q61*'Бали кандидатів'!$C$11</f>
        <v/>
      </c>
      <c r="V61" s="59">
        <f>IF('Бали кандидатів'!$B$14&gt;=300,"OK","НЕ ДОПУЩЕНО")</f>
        <v/>
      </c>
      <c r="W61" s="59">
        <f>IF('Бали кандидатів'!$C$14&gt;=300,"OK","НЕ ДОПУЩЕНО")</f>
        <v/>
      </c>
      <c r="X61" s="52">
        <f>IF(AND(OR(R61="—",'Бали кандидатів'!$B$9&gt;=R61),OR(S61="—",'Бали кандидатів'!$B$10&gt;=S61)),"проходить","НИЖЧЕ мін. балу")</f>
        <v/>
      </c>
      <c r="Y61" s="55">
        <f>IF(AND(OR(R61="—",'Бали кандидатів'!$C$9&gt;=R61),OR(S61="—",'Бали кандидатів'!$C$10&gt;=S61)),"проходить","НИЖЧЕ мін. балу")</f>
        <v/>
      </c>
      <c r="Z61" s="55" t="inlineStr">
        <is>
          <t>Дослідницька пропозиція важить більше або нарівні з іспитом</t>
        </is>
      </c>
      <c r="AA61" s="60" t="n"/>
      <c r="AB61" s="60" t="n"/>
      <c r="AC61" s="52" t="n"/>
      <c r="AD61" s="60" t="n"/>
      <c r="AE61" s="52" t="inlineStr">
        <is>
          <t>https://vstup.osvita.ua/r27/79/entrance.html</t>
        </is>
      </c>
      <c r="AF61" s="60" t="inlineStr">
        <is>
          <t>https://vstup.osvita.ua/y2026/r27/79/1653701/</t>
        </is>
      </c>
      <c r="AG61" s="60" t="n"/>
      <c r="AH61" s="60" t="n"/>
      <c r="AI61" s="52" t="n"/>
      <c r="AJ61" s="37" t="inlineStr"/>
      <c r="AK61" s="37" t="inlineStr"/>
      <c r="AL61" s="37" t="inlineStr"/>
      <c r="AM61" s="37">
        <f>IF(AJ61="","дані ще не вивантажені",IF('Бали кандидатів'!$B$7&gt;=AJ61,"проходить","НЕ проходить за ЄВВ"))</f>
        <v/>
      </c>
      <c r="AN61" s="37">
        <f>IF(AJ61="","дані ще не вивантажені",IF('Бали кандидатів'!$C$7&gt;=AJ61,"проходить","НЕ проходить за ЄВВ"))</f>
        <v/>
      </c>
    </row>
    <row r="62" ht="15" customHeight="1" s="38">
      <c r="A62" s="51" t="inlineStr">
        <is>
          <t>F3 Комп'ютерні науки</t>
        </is>
      </c>
      <c r="B62" s="52" t="inlineStr">
        <is>
          <t>Запорізький національний університет</t>
        </is>
      </c>
      <c r="C62" s="52" t="inlineStr">
        <is>
          <t>Запоріжжя</t>
        </is>
      </c>
      <c r="D62" s="53" t="inlineStr">
        <is>
          <t>Запорізька</t>
        </is>
      </c>
      <c r="E62" s="54" t="inlineStr">
        <is>
          <t>ТАК</t>
        </is>
      </c>
      <c r="F62" s="53" t="inlineStr">
        <is>
          <t>Фіксована</t>
        </is>
      </c>
      <c r="G62" s="55" t="inlineStr">
        <is>
          <t>ні</t>
        </is>
      </c>
      <c r="H62" s="52" t="n"/>
      <c r="I62" s="52" t="inlineStr">
        <is>
          <t>Комп'ютерні науки</t>
        </is>
      </c>
      <c r="J62" s="52" t="n"/>
      <c r="K62" s="52" t="n">
        <v>5</v>
      </c>
      <c r="L62" s="52" t="n">
        <v>14</v>
      </c>
      <c r="M62" s="56">
        <f>IF(K62=0,"н/д",L62/K62)</f>
        <v/>
      </c>
      <c r="N62" s="52" t="inlineStr">
        <is>
          <t>26.08.2026</t>
        </is>
      </c>
      <c r="O62" s="57" t="n">
        <v>0.4</v>
      </c>
      <c r="P62" s="57" t="n">
        <v>0.2</v>
      </c>
      <c r="Q62" s="57" t="n">
        <v>0</v>
      </c>
      <c r="R62" s="52" t="n">
        <v>100</v>
      </c>
      <c r="S62" s="52" t="n">
        <v>100</v>
      </c>
      <c r="T62" s="58">
        <f>0.2*'Бали кандидатів'!$B$6+0.2*'Бали кандидатів'!$B$7+O62*'Бали кандидатів'!$B$9+P62*'Бали кандидатів'!$B$10+Q62*'Бали кандидатів'!$B$11</f>
        <v/>
      </c>
      <c r="U62" s="58">
        <f>0.2*'Бали кандидатів'!$C$6+0.2*'Бали кандидатів'!$C$7+O62*'Бали кандидатів'!$C$9+P62*'Бали кандидатів'!$C$10+Q62*'Бали кандидатів'!$C$11</f>
        <v/>
      </c>
      <c r="V62" s="59">
        <f>IF('Бали кандидатів'!$B$14&gt;=300,"OK","НЕ ДОПУЩЕНО")</f>
        <v/>
      </c>
      <c r="W62" s="59">
        <f>IF('Бали кандидатів'!$C$14&gt;=300,"OK","НЕ ДОПУЩЕНО")</f>
        <v/>
      </c>
      <c r="X62" s="52">
        <f>IF(AND(OR(R62="—",'Бали кандидатів'!$B$9&gt;=R62),OR(S62="—",'Бали кандидатів'!$B$10&gt;=S62)),"проходить","НИЖЧЕ мін. балу")</f>
        <v/>
      </c>
      <c r="Y62" s="55">
        <f>IF(AND(OR(R62="—",'Бали кандидатів'!$C$9&gt;=R62),OR(S62="—",'Бали кандидатів'!$C$10&gt;=S62)),"проходить","НИЖЧЕ мін. балу")</f>
        <v/>
      </c>
      <c r="Z62" s="55" t="inlineStr">
        <is>
          <t>Іспит + дослідницька пропозиція</t>
        </is>
      </c>
      <c r="AA62" s="60" t="n"/>
      <c r="AB62" s="60" t="n"/>
      <c r="AC62" s="52" t="n"/>
      <c r="AD62" s="60" t="n"/>
      <c r="AE62" s="52" t="inlineStr">
        <is>
          <t>https://vstup.osvita.ua/r9/73/entrance.html</t>
        </is>
      </c>
      <c r="AF62" s="60" t="inlineStr">
        <is>
          <t>https://vstup.osvita.ua/y2026/r9/73/1650353/</t>
        </is>
      </c>
      <c r="AG62" s="60" t="n"/>
      <c r="AH62" s="60" t="n"/>
      <c r="AI62" s="52" t="n"/>
      <c r="AJ62" s="37" t="inlineStr"/>
      <c r="AK62" s="37" t="inlineStr"/>
      <c r="AL62" s="37" t="inlineStr"/>
      <c r="AM62" s="37">
        <f>IF(AJ62="","дані ще не вивантажені",IF('Бали кандидатів'!$B$7&gt;=AJ62,"проходить","НЕ проходить за ЄВВ"))</f>
        <v/>
      </c>
      <c r="AN62" s="37">
        <f>IF(AJ62="","дані ще не вивантажені",IF('Бали кандидатів'!$C$7&gt;=AJ62,"проходить","НЕ проходить за ЄВВ"))</f>
        <v/>
      </c>
    </row>
    <row r="63" ht="15" customHeight="1" s="38">
      <c r="A63" s="51" t="inlineStr">
        <is>
          <t>F3 Комп'ютерні науки</t>
        </is>
      </c>
      <c r="B63" s="52" t="inlineStr">
        <is>
          <t>Київський національний університет будівництва і архітектури</t>
        </is>
      </c>
      <c r="C63" s="52" t="inlineStr">
        <is>
          <t>Київ</t>
        </is>
      </c>
      <c r="D63" s="53" t="inlineStr">
        <is>
          <t>Київ</t>
        </is>
      </c>
      <c r="E63" s="54" t="inlineStr">
        <is>
          <t>ТАК</t>
        </is>
      </c>
      <c r="F63" s="53" t="inlineStr">
        <is>
          <t>Фіксована</t>
        </is>
      </c>
      <c r="G63" s="55" t="inlineStr">
        <is>
          <t>ні</t>
        </is>
      </c>
      <c r="H63" s="52" t="n"/>
      <c r="I63" s="52" t="inlineStr">
        <is>
          <t>Комп'ютерні науки</t>
        </is>
      </c>
      <c r="J63" s="52" t="inlineStr">
        <is>
          <t>Автоматизації і інформаційних технологій</t>
        </is>
      </c>
      <c r="K63" s="52" t="n">
        <v>5</v>
      </c>
      <c r="L63" s="52" t="n">
        <v>14</v>
      </c>
      <c r="M63" s="56">
        <f>IF(K63=0,"н/д",L63/K63)</f>
        <v/>
      </c>
      <c r="N63" s="52" t="inlineStr">
        <is>
          <t>26.08.2026</t>
        </is>
      </c>
      <c r="O63" s="57" t="n">
        <v>0.6</v>
      </c>
      <c r="P63" s="57" t="n">
        <v>0</v>
      </c>
      <c r="Q63" s="57" t="n">
        <v>0</v>
      </c>
      <c r="R63" s="52" t="n">
        <v>100</v>
      </c>
      <c r="S63" s="52" t="inlineStr">
        <is>
          <t>—</t>
        </is>
      </c>
      <c r="T63" s="58">
        <f>0.2*'Бали кандидатів'!$B$6+0.2*'Бали кандидатів'!$B$7+O63*'Бали кандидатів'!$B$9+P63*'Бали кандидатів'!$B$10+Q63*'Бали кандидатів'!$B$11</f>
        <v/>
      </c>
      <c r="U63" s="58">
        <f>0.2*'Бали кандидатів'!$C$6+0.2*'Бали кандидатів'!$C$7+O63*'Бали кандидатів'!$C$9+P63*'Бали кандидатів'!$C$10+Q63*'Бали кандидатів'!$C$11</f>
        <v/>
      </c>
      <c r="V63" s="59">
        <f>IF('Бали кандидатів'!$B$14&gt;=300,"OK","НЕ ДОПУЩЕНО")</f>
        <v/>
      </c>
      <c r="W63" s="59">
        <f>IF('Бали кандидатів'!$C$14&gt;=300,"OK","НЕ ДОПУЩЕНО")</f>
        <v/>
      </c>
      <c r="X63" s="52">
        <f>IF(AND(OR(R63="—",'Бали кандидатів'!$B$9&gt;=R63),OR(S63="—",'Бали кандидатів'!$B$10&gt;=S63)),"проходить","НИЖЧЕ мін. балу")</f>
        <v/>
      </c>
      <c r="Y63" s="55">
        <f>IF(AND(OR(R63="—",'Бали кандидатів'!$C$9&gt;=R63),OR(S63="—",'Бали кандидатів'!$C$10&gt;=S63)),"проходить","НИЖЧЕ мін. балу")</f>
        <v/>
      </c>
      <c r="Z63" s="55" t="inlineStr">
        <is>
          <t>Тільки іспит зі спеціальності</t>
        </is>
      </c>
      <c r="AA63" s="60" t="inlineStr">
        <is>
          <t>НОВА пропозиція — зʼявилася в ЄДЕБО 26.08.2026</t>
        </is>
      </c>
      <c r="AB63" s="60" t="n"/>
      <c r="AC63" s="52" t="n"/>
      <c r="AD63" s="60" t="n"/>
      <c r="AE63" s="52" t="inlineStr">
        <is>
          <t>https://vstup.osvita.ua/r27/127/entrance.html</t>
        </is>
      </c>
      <c r="AF63" s="60" t="inlineStr">
        <is>
          <t>https://vstup.osvita.ua/y2026/r27/127/1648633/</t>
        </is>
      </c>
      <c r="AG63" s="60" t="n"/>
      <c r="AH63" s="60" t="n"/>
      <c r="AI63" s="52" t="n"/>
      <c r="AJ63" s="37" t="inlineStr"/>
      <c r="AK63" s="37" t="inlineStr"/>
      <c r="AL63" s="37" t="inlineStr"/>
      <c r="AM63" s="37">
        <f>IF(AJ63="","дані ще не вивантажені",IF('Бали кандидатів'!$B$7&gt;=AJ63,"проходить","НЕ проходить за ЄВВ"))</f>
        <v/>
      </c>
      <c r="AN63" s="37">
        <f>IF(AJ63="","дані ще не вивантажені",IF('Бали кандидатів'!$C$7&gt;=AJ63,"проходить","НЕ проходить за ЄВВ"))</f>
        <v/>
      </c>
    </row>
    <row r="64" ht="15" customHeight="1" s="38">
      <c r="A64" s="51" t="inlineStr">
        <is>
          <t>F3 Комп'ютерні науки</t>
        </is>
      </c>
      <c r="B64" s="52" t="inlineStr">
        <is>
          <t>НУ «Полтавська політехніка ім. Ю. Кондратюка»</t>
        </is>
      </c>
      <c r="C64" s="52" t="inlineStr">
        <is>
          <t>Полтава</t>
        </is>
      </c>
      <c r="D64" s="53" t="inlineStr">
        <is>
          <t>Полтавська</t>
        </is>
      </c>
      <c r="E64" s="54" t="inlineStr">
        <is>
          <t>ТАК</t>
        </is>
      </c>
      <c r="F64" s="53" t="inlineStr">
        <is>
          <t>Фіксована</t>
        </is>
      </c>
      <c r="G64" s="55" t="inlineStr">
        <is>
          <t>ні</t>
        </is>
      </c>
      <c r="H64" s="52" t="n"/>
      <c r="I64" s="52" t="inlineStr">
        <is>
          <t>Комп'ютерні науки</t>
        </is>
      </c>
      <c r="J64" s="52" t="inlineStr">
        <is>
          <t>ННІ інформаційних технологій та робототехніки</t>
        </is>
      </c>
      <c r="K64" s="52" t="n">
        <v>7</v>
      </c>
      <c r="L64" s="52" t="n">
        <v>20</v>
      </c>
      <c r="M64" s="56">
        <f>IF(K64=0,"н/д",L64/K64)</f>
        <v/>
      </c>
      <c r="N64" s="52" t="inlineStr">
        <is>
          <t>26.08.2026</t>
        </is>
      </c>
      <c r="O64" s="57" t="n">
        <v>0.6</v>
      </c>
      <c r="P64" s="57" t="n">
        <v>0</v>
      </c>
      <c r="Q64" s="57" t="n">
        <v>0</v>
      </c>
      <c r="R64" s="52" t="n">
        <v>100</v>
      </c>
      <c r="S64" s="52" t="inlineStr">
        <is>
          <t>—</t>
        </is>
      </c>
      <c r="T64" s="58">
        <f>0.2*'Бали кандидатів'!$B$6+0.2*'Бали кандидатів'!$B$7+O64*'Бали кандидатів'!$B$9+P64*'Бали кандидатів'!$B$10+Q64*'Бали кандидатів'!$B$11</f>
        <v/>
      </c>
      <c r="U64" s="58">
        <f>0.2*'Бали кандидатів'!$C$6+0.2*'Бали кандидатів'!$C$7+O64*'Бали кандидатів'!$C$9+P64*'Бали кандидатів'!$C$10+Q64*'Бали кандидатів'!$C$11</f>
        <v/>
      </c>
      <c r="V64" s="59">
        <f>IF('Бали кандидатів'!$B$14&gt;=300,"OK","НЕ ДОПУЩЕНО")</f>
        <v/>
      </c>
      <c r="W64" s="59">
        <f>IF('Бали кандидатів'!$C$14&gt;=300,"OK","НЕ ДОПУЩЕНО")</f>
        <v/>
      </c>
      <c r="X64" s="52">
        <f>IF(AND(OR(R64="—",'Бали кандидатів'!$B$9&gt;=R64),OR(S64="—",'Бали кандидатів'!$B$10&gt;=S64)),"проходить","НИЖЧЕ мін. балу")</f>
        <v/>
      </c>
      <c r="Y64" s="55">
        <f>IF(AND(OR(R64="—",'Бали кандидатів'!$C$9&gt;=R64),OR(S64="—",'Бали кандидатів'!$C$10&gt;=S64)),"проходить","НИЖЧЕ мін. балу")</f>
        <v/>
      </c>
      <c r="Z64" s="55" t="inlineStr">
        <is>
          <t>Тільки іспит зі спеціальності</t>
        </is>
      </c>
      <c r="AA64" s="60" t="n"/>
      <c r="AB64" s="60" t="n"/>
      <c r="AC64" s="52" t="n"/>
      <c r="AD64" s="60" t="n"/>
      <c r="AE64" s="52" t="inlineStr">
        <is>
          <t>https://vstup.osvita.ua/r17/225/entrance.html</t>
        </is>
      </c>
      <c r="AF64" s="60" t="inlineStr">
        <is>
          <t>https://vstup.osvita.ua/y2026/r17/225/1647176/</t>
        </is>
      </c>
      <c r="AG64" s="60" t="n"/>
      <c r="AH64" s="60" t="n"/>
      <c r="AI64" s="52" t="n"/>
      <c r="AJ64" s="37" t="inlineStr"/>
      <c r="AK64" s="37" t="inlineStr"/>
      <c r="AL64" s="37" t="inlineStr"/>
      <c r="AM64" s="37">
        <f>IF(AJ64="","дані ще не вивантажені",IF('Бали кандидатів'!$B$7&gt;=AJ64,"проходить","НЕ проходить за ЄВВ"))</f>
        <v/>
      </c>
      <c r="AN64" s="37">
        <f>IF(AJ64="","дані ще не вивантажені",IF('Бали кандидатів'!$C$7&gt;=AJ64,"проходить","НЕ проходить за ЄВВ"))</f>
        <v/>
      </c>
    </row>
    <row r="65" ht="15" customHeight="1" s="38">
      <c r="A65" s="51" t="inlineStr">
        <is>
          <t>F2 Інженерія ПЗ</t>
        </is>
      </c>
      <c r="B65" s="52" t="inlineStr">
        <is>
          <t>КПІ ім. Ігоря Сікорського</t>
        </is>
      </c>
      <c r="C65" s="52" t="inlineStr">
        <is>
          <t>Київ</t>
        </is>
      </c>
      <c r="D65" s="53" t="inlineStr">
        <is>
          <t>Київ</t>
        </is>
      </c>
      <c r="E65" s="54" t="inlineStr">
        <is>
          <t>ТАК</t>
        </is>
      </c>
      <c r="F65" s="53" t="inlineStr">
        <is>
          <t>Фіксована</t>
        </is>
      </c>
      <c r="G65" s="55" t="inlineStr">
        <is>
          <t>ні</t>
        </is>
      </c>
      <c r="H65" s="52" t="n"/>
      <c r="I65" s="52" t="inlineStr">
        <is>
          <t>Інженерія програмного забезпечення</t>
        </is>
      </c>
      <c r="J65" s="52" t="inlineStr">
        <is>
          <t>Інформатики та обчислювальної техніки</t>
        </is>
      </c>
      <c r="K65" s="52" t="n">
        <v>16</v>
      </c>
      <c r="L65" s="52" t="n">
        <v>47</v>
      </c>
      <c r="M65" s="56">
        <f>IF(K65=0,"н/д",L65/K65)</f>
        <v/>
      </c>
      <c r="N65" s="52" t="inlineStr">
        <is>
          <t>26.08.2026</t>
        </is>
      </c>
      <c r="O65" s="57" t="n">
        <v>0.6</v>
      </c>
      <c r="P65" s="57" t="n">
        <v>0</v>
      </c>
      <c r="Q65" s="57" t="n">
        <v>0</v>
      </c>
      <c r="R65" s="52" t="inlineStr">
        <is>
          <t>—</t>
        </is>
      </c>
      <c r="S65" s="52" t="inlineStr">
        <is>
          <t>—</t>
        </is>
      </c>
      <c r="T65" s="58">
        <f>0.2*'Бали кандидатів'!$B$6+0.2*'Бали кандидатів'!$B$7+O65*'Бали кандидатів'!$B$9+P65*'Бали кандидатів'!$B$10+Q65*'Бали кандидатів'!$B$11</f>
        <v/>
      </c>
      <c r="U65" s="58">
        <f>0.2*'Бали кандидатів'!$C$6+0.2*'Бали кандидатів'!$C$7+O65*'Бали кандидатів'!$C$9+P65*'Бали кандидатів'!$C$10+Q65*'Бали кандидатів'!$C$11</f>
        <v/>
      </c>
      <c r="V65" s="59">
        <f>IF('Бали кандидатів'!$B$14&gt;=300,"OK","НЕ ДОПУЩЕНО")</f>
        <v/>
      </c>
      <c r="W65" s="59">
        <f>IF('Бали кандидатів'!$C$14&gt;=300,"OK","НЕ ДОПУЩЕНО")</f>
        <v/>
      </c>
      <c r="X65" s="52">
        <f>IF(AND(OR(R65="—",'Бали кандидатів'!$B$9&gt;=R65),OR(S65="—",'Бали кандидатів'!$B$10&gt;=S65)),"проходить","НИЖЧЕ мін. балу")</f>
        <v/>
      </c>
      <c r="Y65" s="55">
        <f>IF(AND(OR(R65="—",'Бали кандидатів'!$C$9&gt;=R65),OR(S65="—",'Бали кандидатів'!$C$10&gt;=S65)),"проходить","НИЖЧЕ мін. балу")</f>
        <v/>
      </c>
      <c r="Z65" s="55" t="inlineStr">
        <is>
          <t>Тільки іспит зі спеціальності</t>
        </is>
      </c>
      <c r="AA65" s="60" t="n"/>
      <c r="AB65" s="60" t="n"/>
      <c r="AC65" s="52" t="n"/>
      <c r="AD65" s="60" t="n"/>
      <c r="AE65" s="52" t="inlineStr">
        <is>
          <t>https://vstup.osvita.ua/r27/174/entrance.html</t>
        </is>
      </c>
      <c r="AF65" s="60" t="inlineStr">
        <is>
          <t>https://vstup.osvita.ua/y2026/r27/174/1650954/</t>
        </is>
      </c>
      <c r="AG65" s="60" t="n"/>
      <c r="AH65" s="60" t="n"/>
      <c r="AI65" s="52" t="n"/>
      <c r="AJ65" s="37" t="inlineStr"/>
      <c r="AK65" s="37" t="inlineStr"/>
      <c r="AL65" s="37" t="inlineStr"/>
      <c r="AM65" s="37">
        <f>IF(AJ65="","дані ще не вивантажені",IF('Бали кандидатів'!$B$7&gt;=AJ65,"проходить","НЕ проходить за ЄВВ"))</f>
        <v/>
      </c>
      <c r="AN65" s="37">
        <f>IF(AJ65="","дані ще не вивантажені",IF('Бали кандидатів'!$C$7&gt;=AJ65,"проходить","НЕ проходить за ЄВВ"))</f>
        <v/>
      </c>
    </row>
    <row r="66" ht="15" customHeight="1" s="38">
      <c r="A66" s="51" t="inlineStr">
        <is>
          <t>F3 Комп'ютерні науки</t>
        </is>
      </c>
      <c r="B66" s="52" t="inlineStr">
        <is>
          <t>Черкаський державний технологічний університет</t>
        </is>
      </c>
      <c r="C66" s="52" t="inlineStr">
        <is>
          <t>Черкаси</t>
        </is>
      </c>
      <c r="D66" s="53" t="inlineStr">
        <is>
          <t>Черкаська</t>
        </is>
      </c>
      <c r="E66" s="54" t="inlineStr">
        <is>
          <t>ТАК</t>
        </is>
      </c>
      <c r="F66" s="53" t="inlineStr">
        <is>
          <t>Фіксована</t>
        </is>
      </c>
      <c r="G66" s="55" t="inlineStr">
        <is>
          <t>ні</t>
        </is>
      </c>
      <c r="H66" s="52" t="n"/>
      <c r="I66" s="52" t="inlineStr">
        <is>
          <t>Комп'ютерні науки</t>
        </is>
      </c>
      <c r="J66" s="52" t="inlineStr">
        <is>
          <t>Інформаційних технологій і систем</t>
        </is>
      </c>
      <c r="K66" s="52" t="n">
        <v>4</v>
      </c>
      <c r="L66" s="52" t="n">
        <v>12</v>
      </c>
      <c r="M66" s="56">
        <f>IF(K66=0,"н/д",L66/K66)</f>
        <v/>
      </c>
      <c r="N66" s="52" t="inlineStr">
        <is>
          <t>26.08.2026</t>
        </is>
      </c>
      <c r="O66" s="57" t="n">
        <v>0.6</v>
      </c>
      <c r="P66" s="57" t="n">
        <v>0</v>
      </c>
      <c r="Q66" s="57" t="n">
        <v>0</v>
      </c>
      <c r="R66" s="52" t="inlineStr">
        <is>
          <t>—</t>
        </is>
      </c>
      <c r="S66" s="52" t="inlineStr">
        <is>
          <t>—</t>
        </is>
      </c>
      <c r="T66" s="58">
        <f>0.2*'Бали кандидатів'!$B$6+0.2*'Бали кандидатів'!$B$7+O66*'Бали кандидатів'!$B$9+P66*'Бали кандидатів'!$B$10+Q66*'Бали кандидатів'!$B$11</f>
        <v/>
      </c>
      <c r="U66" s="58">
        <f>0.2*'Бали кандидатів'!$C$6+0.2*'Бали кандидатів'!$C$7+O66*'Бали кандидатів'!$C$9+P66*'Бали кандидатів'!$C$10+Q66*'Бали кандидатів'!$C$11</f>
        <v/>
      </c>
      <c r="V66" s="59">
        <f>IF('Бали кандидатів'!$B$14&gt;=300,"OK","НЕ ДОПУЩЕНО")</f>
        <v/>
      </c>
      <c r="W66" s="59">
        <f>IF('Бали кандидатів'!$C$14&gt;=300,"OK","НЕ ДОПУЩЕНО")</f>
        <v/>
      </c>
      <c r="X66" s="52">
        <f>IF(AND(OR(R66="—",'Бали кандидатів'!$B$9&gt;=R66),OR(S66="—",'Бали кандидатів'!$B$10&gt;=S66)),"проходить","НИЖЧЕ мін. балу")</f>
        <v/>
      </c>
      <c r="Y66" s="55">
        <f>IF(AND(OR(R66="—",'Бали кандидатів'!$C$9&gt;=R66),OR(S66="—",'Бали кандидатів'!$C$10&gt;=S66)),"проходить","НИЖЧЕ мін. балу")</f>
        <v/>
      </c>
      <c r="Z66" s="55" t="inlineStr">
        <is>
          <t>Тільки іспит зі спеціальності</t>
        </is>
      </c>
      <c r="AA66" s="60" t="n"/>
      <c r="AB66" s="60" t="n"/>
      <c r="AC66" s="52" t="n"/>
      <c r="AD66" s="60" t="n"/>
      <c r="AE66" s="52" t="inlineStr">
        <is>
          <t>https://vstup.osvita.ua/r24/248/entrance.html</t>
        </is>
      </c>
      <c r="AF66" s="60" t="inlineStr">
        <is>
          <t>https://vstup.osvita.ua/y2026/r24/248/1648422/</t>
        </is>
      </c>
      <c r="AG66" s="60" t="n"/>
      <c r="AH66" s="60" t="n"/>
      <c r="AI66" s="52" t="n"/>
      <c r="AJ66" s="37" t="inlineStr"/>
      <c r="AK66" s="37" t="inlineStr"/>
      <c r="AL66" s="37" t="inlineStr"/>
      <c r="AM66" s="37">
        <f>IF(AJ66="","дані ще не вивантажені",IF('Бали кандидатів'!$B$7&gt;=AJ66,"проходить","НЕ проходить за ЄВВ"))</f>
        <v/>
      </c>
      <c r="AN66" s="37">
        <f>IF(AJ66="","дані ще не вивантажені",IF('Бали кандидатів'!$C$7&gt;=AJ66,"проходить","НЕ проходить за ЄВВ"))</f>
        <v/>
      </c>
    </row>
    <row r="67" ht="26.85" customHeight="1" s="38">
      <c r="A67" s="51" t="inlineStr">
        <is>
          <t>F2 Інженерія ПЗ</t>
        </is>
      </c>
      <c r="B67" s="52" t="inlineStr">
        <is>
          <t>НаУКМА (Києво-Могилянська академія)</t>
        </is>
      </c>
      <c r="C67" s="52" t="inlineStr">
        <is>
          <t>Київ</t>
        </is>
      </c>
      <c r="D67" s="53" t="inlineStr">
        <is>
          <t>Київ</t>
        </is>
      </c>
      <c r="E67" s="54" t="inlineStr">
        <is>
          <t>ТАК</t>
        </is>
      </c>
      <c r="F67" s="53" t="inlineStr">
        <is>
          <t>Фіксована</t>
        </is>
      </c>
      <c r="G67" s="55" t="inlineStr">
        <is>
          <t>ні</t>
        </is>
      </c>
      <c r="H67" s="52" t="n"/>
      <c r="I67" s="52" t="inlineStr">
        <is>
          <t>Інженерія програмного забезпечення</t>
        </is>
      </c>
      <c r="J67" s="52" t="inlineStr">
        <is>
          <t>Факультет інформатики</t>
        </is>
      </c>
      <c r="K67" s="52" t="n">
        <v>3</v>
      </c>
      <c r="L67" s="52" t="n">
        <v>9</v>
      </c>
      <c r="M67" s="56">
        <f>IF(K67=0,"н/д",L67/K67)</f>
        <v/>
      </c>
      <c r="N67" s="52" t="inlineStr">
        <is>
          <t>26.08.2026</t>
        </is>
      </c>
      <c r="O67" s="57" t="n">
        <v>0.2</v>
      </c>
      <c r="P67" s="57" t="n">
        <v>0.4</v>
      </c>
      <c r="Q67" s="57" t="n">
        <v>0</v>
      </c>
      <c r="R67" s="52" t="n">
        <v>150</v>
      </c>
      <c r="S67" s="52" t="n">
        <v>150</v>
      </c>
      <c r="T67" s="58">
        <f>0.2*'Бали кандидатів'!$B$6+0.2*'Бали кандидатів'!$B$7+O67*'Бали кандидатів'!$B$9+P67*'Бали кандидатів'!$B$10+Q67*'Бали кандидатів'!$B$11</f>
        <v/>
      </c>
      <c r="U67" s="58">
        <f>0.2*'Бали кандидатів'!$C$6+0.2*'Бали кандидатів'!$C$7+O67*'Бали кандидатів'!$C$9+P67*'Бали кандидатів'!$C$10+Q67*'Бали кандидатів'!$C$11</f>
        <v/>
      </c>
      <c r="V67" s="59">
        <f>IF('Бали кандидатів'!$B$14&gt;=300,"OK","НЕ ДОПУЩЕНО")</f>
        <v/>
      </c>
      <c r="W67" s="59">
        <f>IF('Бали кандидатів'!$C$14&gt;=300,"OK","НЕ ДОПУЩЕНО")</f>
        <v/>
      </c>
      <c r="X67" s="52">
        <f>IF(AND(OR(R67="—",'Бали кандидатів'!$B$9&gt;=R67),OR(S67="—",'Бали кандидатів'!$B$10&gt;=S67)),"проходить","НИЖЧЕ мін. балу")</f>
        <v/>
      </c>
      <c r="Y67" s="55">
        <f>IF(AND(OR(R67="—",'Бали кандидатів'!$C$9&gt;=R67),OR(S67="—",'Бали кандидатів'!$C$10&gt;=S67)),"проходить","НИЖЧЕ мін. балу")</f>
        <v/>
      </c>
      <c r="Z67" s="55" t="inlineStr">
        <is>
          <t>Дослідницька пропозиція важить більше або нарівні з іспитом</t>
        </is>
      </c>
      <c r="AA67" s="60" t="n"/>
      <c r="AB67" s="60" t="n"/>
      <c r="AC67" s="52" t="n"/>
      <c r="AD67" s="60" t="n"/>
      <c r="AE67" s="52" t="inlineStr">
        <is>
          <t>https://vstup.osvita.ua/r27/79/entrance.html</t>
        </is>
      </c>
      <c r="AF67" s="60" t="inlineStr">
        <is>
          <t>https://vstup.osvita.ua/y2026/r27/79/1653695/</t>
        </is>
      </c>
      <c r="AG67" s="60" t="n"/>
      <c r="AH67" s="60" t="n"/>
      <c r="AI67" s="52" t="n"/>
      <c r="AJ67" s="37" t="inlineStr"/>
      <c r="AK67" s="37" t="inlineStr"/>
      <c r="AL67" s="37" t="inlineStr"/>
      <c r="AM67" s="37">
        <f>IF(AJ67="","дані ще не вивантажені",IF('Бали кандидатів'!$B$7&gt;=AJ67,"проходить","НЕ проходить за ЄВВ"))</f>
        <v/>
      </c>
      <c r="AN67" s="37">
        <f>IF(AJ67="","дані ще не вивантажені",IF('Бали кандидатів'!$C$7&gt;=AJ67,"проходить","НЕ проходить за ЄВВ"))</f>
        <v/>
      </c>
    </row>
    <row r="68" ht="15" customHeight="1" s="38">
      <c r="A68" s="51" t="inlineStr">
        <is>
          <t>F2 Інженерія ПЗ</t>
        </is>
      </c>
      <c r="B68" s="52" t="inlineStr">
        <is>
          <t>Луцький національний технічний університет</t>
        </is>
      </c>
      <c r="C68" s="52" t="inlineStr">
        <is>
          <t>Луцьк</t>
        </is>
      </c>
      <c r="D68" s="53" t="inlineStr">
        <is>
          <t>Волинська</t>
        </is>
      </c>
      <c r="E68" s="54" t="inlineStr">
        <is>
          <t>ТАК</t>
        </is>
      </c>
      <c r="F68" s="53" t="inlineStr">
        <is>
          <t>Фіксована</t>
        </is>
      </c>
      <c r="G68" s="55" t="inlineStr">
        <is>
          <t>ні</t>
        </is>
      </c>
      <c r="H68" s="52" t="n"/>
      <c r="I68" s="52" t="inlineStr">
        <is>
          <t>Інженерія програмного забезпечення</t>
        </is>
      </c>
      <c r="J68" s="52" t="inlineStr">
        <is>
          <t>Комп'ютерних та інформаційних технологій</t>
        </is>
      </c>
      <c r="K68" s="52" t="n">
        <v>5</v>
      </c>
      <c r="L68" s="52" t="n">
        <v>15</v>
      </c>
      <c r="M68" s="56">
        <f>IF(K68=0,"н/д",L68/K68)</f>
        <v/>
      </c>
      <c r="N68" s="52" t="inlineStr">
        <is>
          <t>26.08.2026</t>
        </is>
      </c>
      <c r="O68" s="57" t="n">
        <v>0.6</v>
      </c>
      <c r="P68" s="57" t="n">
        <v>0</v>
      </c>
      <c r="Q68" s="57" t="n">
        <v>0</v>
      </c>
      <c r="R68" s="52" t="inlineStr">
        <is>
          <t>—</t>
        </is>
      </c>
      <c r="S68" s="52" t="inlineStr">
        <is>
          <t>—</t>
        </is>
      </c>
      <c r="T68" s="58">
        <f>0.2*'Бали кандидатів'!$B$6+0.2*'Бали кандидатів'!$B$7+O68*'Бали кандидатів'!$B$9+P68*'Бали кандидатів'!$B$10+Q68*'Бали кандидатів'!$B$11</f>
        <v/>
      </c>
      <c r="U68" s="58">
        <f>0.2*'Бали кандидатів'!$C$6+0.2*'Бали кандидатів'!$C$7+O68*'Бали кандидатів'!$C$9+P68*'Бали кандидатів'!$C$10+Q68*'Бали кандидатів'!$C$11</f>
        <v/>
      </c>
      <c r="V68" s="59">
        <f>IF('Бали кандидатів'!$B$14&gt;=300,"OK","НЕ ДОПУЩЕНО")</f>
        <v/>
      </c>
      <c r="W68" s="59">
        <f>IF('Бали кандидатів'!$C$14&gt;=300,"OK","НЕ ДОПУЩЕНО")</f>
        <v/>
      </c>
      <c r="X68" s="52">
        <f>IF(AND(OR(R68="—",'Бали кандидатів'!$B$9&gt;=R68),OR(S68="—",'Бали кандидатів'!$B$10&gt;=S68)),"проходить","НИЖЧЕ мін. балу")</f>
        <v/>
      </c>
      <c r="Y68" s="55">
        <f>IF(AND(OR(R68="—",'Бали кандидатів'!$C$9&gt;=R68),OR(S68="—",'Бали кандидатів'!$C$10&gt;=S68)),"проходить","НИЖЧЕ мін. балу")</f>
        <v/>
      </c>
      <c r="Z68" s="55" t="inlineStr">
        <is>
          <t>Тільки іспит зі спеціальності</t>
        </is>
      </c>
      <c r="AA68" s="60" t="n"/>
      <c r="AB68" s="60" t="n"/>
      <c r="AC68" s="52" t="n"/>
      <c r="AD68" s="60" t="n"/>
      <c r="AE68" s="52" t="inlineStr">
        <is>
          <t>https://vstup.osvita.ua/r4/309/entrance.html</t>
        </is>
      </c>
      <c r="AF68" s="60" t="inlineStr">
        <is>
          <t>https://vstup.osvita.ua/y2026/r4/309/1652431/</t>
        </is>
      </c>
      <c r="AG68" s="60" t="n"/>
      <c r="AH68" s="60" t="n"/>
      <c r="AI68" s="52" t="n"/>
      <c r="AJ68" s="37" t="inlineStr"/>
      <c r="AK68" s="37" t="inlineStr"/>
      <c r="AL68" s="37" t="inlineStr"/>
      <c r="AM68" s="37">
        <f>IF(AJ68="","дані ще не вивантажені",IF('Бали кандидатів'!$B$7&gt;=AJ68,"проходить","НЕ проходить за ЄВВ"))</f>
        <v/>
      </c>
      <c r="AN68" s="37">
        <f>IF(AJ68="","дані ще не вивантажені",IF('Бали кандидатів'!$C$7&gt;=AJ68,"проходить","НЕ проходить за ЄВВ"))</f>
        <v/>
      </c>
    </row>
    <row r="69" ht="26.85" customHeight="1" s="38">
      <c r="A69" s="51" t="inlineStr">
        <is>
          <t>F4 Системний аналіз</t>
        </is>
      </c>
      <c r="B69" s="52" t="inlineStr">
        <is>
          <t>Вінницький національний технічний університет</t>
        </is>
      </c>
      <c r="C69" s="52" t="inlineStr">
        <is>
          <t>Вінниця</t>
        </is>
      </c>
      <c r="D69" s="53" t="inlineStr">
        <is>
          <t>Вінницька</t>
        </is>
      </c>
      <c r="E69" s="54" t="inlineStr">
        <is>
          <t>ТАК</t>
        </is>
      </c>
      <c r="F69" s="53" t="inlineStr">
        <is>
          <t>Фіксована</t>
        </is>
      </c>
      <c r="G69" s="55" t="inlineStr">
        <is>
          <t>ні</t>
        </is>
      </c>
      <c r="H69" s="52" t="n"/>
      <c r="I69" s="52" t="inlineStr">
        <is>
          <t>Системний аналіз</t>
        </is>
      </c>
      <c r="J69" s="52" t="inlineStr">
        <is>
          <t>Інститут докторантури та аспірантури</t>
        </is>
      </c>
      <c r="K69" s="52" t="n">
        <v>4</v>
      </c>
      <c r="L69" s="52" t="n">
        <v>12</v>
      </c>
      <c r="M69" s="56">
        <f>IF(K69=0,"н/д",L69/K69)</f>
        <v/>
      </c>
      <c r="N69" s="52" t="inlineStr">
        <is>
          <t>26.08.2026</t>
        </is>
      </c>
      <c r="O69" s="63" t="inlineStr">
        <is>
          <t>?</t>
        </is>
      </c>
      <c r="P69" s="63" t="inlineStr">
        <is>
          <t>?</t>
        </is>
      </c>
      <c r="Q69" s="63" t="inlineStr">
        <is>
          <t>?</t>
        </is>
      </c>
      <c r="R69" s="52" t="inlineStr">
        <is>
          <t>?</t>
        </is>
      </c>
      <c r="S69" s="52" t="inlineStr">
        <is>
          <t>?</t>
        </is>
      </c>
      <c r="T69" s="64" t="inlineStr">
        <is>
          <t>ваги невідомі</t>
        </is>
      </c>
      <c r="U69" s="64" t="inlineStr">
        <is>
          <t>ваги невідомі</t>
        </is>
      </c>
      <c r="V69" s="59">
        <f>IF('Бали кандидатів'!$B$14&gt;=300,"OK","НЕ ДОПУЩЕНО")</f>
        <v/>
      </c>
      <c r="W69" s="59">
        <f>IF('Бали кандидатів'!$C$14&gt;=300,"OK","НЕ ДОПУЩЕНО")</f>
        <v/>
      </c>
      <c r="X69" s="52" t="inlineStr">
        <is>
          <t>—</t>
        </is>
      </c>
      <c r="Y69" s="55" t="inlineStr">
        <is>
          <t>—</t>
        </is>
      </c>
      <c r="Z69" s="55" t="inlineStr">
        <is>
          <t>ваги не зчитані — уточнити на сторінці пропозиції</t>
        </is>
      </c>
      <c r="AA69" s="60" t="inlineStr">
        <is>
          <t>Складові конкурсного бала у вихідних даних відсутні — відкрити «Детальніше» на сторінці ЗВО</t>
        </is>
      </c>
      <c r="AB69" s="60" t="n"/>
      <c r="AC69" s="52" t="n"/>
      <c r="AD69" s="60" t="n"/>
      <c r="AE69" s="52" t="inlineStr">
        <is>
          <t>https://vstup.osvita.ua/r3/137/entrance.html</t>
        </is>
      </c>
      <c r="AF69" s="60" t="inlineStr">
        <is>
          <t>https://vstup.osvita.ua/r3/137/</t>
        </is>
      </c>
      <c r="AG69" s="60" t="n"/>
      <c r="AH69" s="60" t="n"/>
      <c r="AI69" s="52" t="n"/>
      <c r="AJ69" s="37" t="inlineStr"/>
      <c r="AK69" s="37" t="inlineStr"/>
      <c r="AL69" s="37" t="inlineStr"/>
      <c r="AM69" s="37">
        <f>IF(AJ69="","дані ще не вивантажені",IF('Бали кандидатів'!$B$7&gt;=AJ69,"проходить","НЕ проходить за ЄВВ"))</f>
        <v/>
      </c>
      <c r="AN69" s="37">
        <f>IF(AJ69="","дані ще не вивантажені",IF('Бали кандидатів'!$C$7&gt;=AJ69,"проходить","НЕ проходить за ЄВВ"))</f>
        <v/>
      </c>
    </row>
    <row r="70" ht="15" customHeight="1" s="38">
      <c r="A70" s="51" t="inlineStr">
        <is>
          <t>F3 Комп'ютерні науки</t>
        </is>
      </c>
      <c r="B70" s="52" t="inlineStr">
        <is>
          <t>Харківський національний автомобільно-дорожній університет</t>
        </is>
      </c>
      <c r="C70" s="52" t="inlineStr">
        <is>
          <t>Харків</t>
        </is>
      </c>
      <c r="D70" s="53" t="inlineStr">
        <is>
          <t>Харківська</t>
        </is>
      </c>
      <c r="E70" s="54" t="inlineStr">
        <is>
          <t>ТАК</t>
        </is>
      </c>
      <c r="F70" s="53" t="inlineStr">
        <is>
          <t>Фіксована</t>
        </is>
      </c>
      <c r="G70" s="55" t="inlineStr">
        <is>
          <t>ні</t>
        </is>
      </c>
      <c r="H70" s="52" t="n"/>
      <c r="I70" s="52" t="inlineStr">
        <is>
          <t>Комп'ютерні науки</t>
        </is>
      </c>
      <c r="J70" s="52" t="inlineStr">
        <is>
          <t>Механічний</t>
        </is>
      </c>
      <c r="K70" s="52" t="n">
        <v>5</v>
      </c>
      <c r="L70" s="61" t="n">
        <v>16</v>
      </c>
      <c r="M70" s="56">
        <f>IF(K70=0,"н/д",L70/K70)</f>
        <v/>
      </c>
      <c r="N70" s="62" t="inlineStr">
        <is>
          <t>25.08.2026 (застаріле)</t>
        </is>
      </c>
      <c r="O70" s="57" t="n">
        <v>0.6</v>
      </c>
      <c r="P70" s="57" t="n">
        <v>0</v>
      </c>
      <c r="Q70" s="57" t="n">
        <v>0</v>
      </c>
      <c r="R70" s="52" t="inlineStr">
        <is>
          <t>—</t>
        </is>
      </c>
      <c r="S70" s="52" t="inlineStr">
        <is>
          <t>—</t>
        </is>
      </c>
      <c r="T70" s="58">
        <f>0.2*'Бали кандидатів'!$B$6+0.2*'Бали кандидатів'!$B$7+O70*'Бали кандидатів'!$B$9+P70*'Бали кандидатів'!$B$10+Q70*'Бали кандидатів'!$B$11</f>
        <v/>
      </c>
      <c r="U70" s="58">
        <f>0.2*'Бали кандидатів'!$C$6+0.2*'Бали кандидатів'!$C$7+O70*'Бали кандидатів'!$C$9+P70*'Бали кандидатів'!$C$10+Q70*'Бали кандидатів'!$C$11</f>
        <v/>
      </c>
      <c r="V70" s="59">
        <f>IF('Бали кандидатів'!$B$14&gt;=300,"OK","НЕ ДОПУЩЕНО")</f>
        <v/>
      </c>
      <c r="W70" s="59">
        <f>IF('Бали кандидатів'!$C$14&gt;=300,"OK","НЕ ДОПУЩЕНО")</f>
        <v/>
      </c>
      <c r="X70" s="52">
        <f>IF(AND(OR(R70="—",'Бали кандидатів'!$B$9&gt;=R70),OR(S70="—",'Бали кандидатів'!$B$10&gt;=S70)),"проходить","НИЖЧЕ мін. балу")</f>
        <v/>
      </c>
      <c r="Y70" s="55">
        <f>IF(AND(OR(R70="—",'Бали кандидатів'!$C$9&gt;=R70),OR(S70="—",'Бали кандидатів'!$C$10&gt;=S70)),"проходить","НИЖЧЕ мін. балу")</f>
        <v/>
      </c>
      <c r="Z70" s="55" t="inlineStr">
        <is>
          <t>Тільки іспит зі спеціальності</t>
        </is>
      </c>
      <c r="AA70" s="60" t="n"/>
      <c r="AB70" s="60" t="n"/>
      <c r="AC70" s="52" t="n"/>
      <c r="AD70" s="60" t="n"/>
      <c r="AE70" s="52" t="inlineStr">
        <is>
          <t>https://vstup.osvita.ua/r21/212/entrance.html</t>
        </is>
      </c>
      <c r="AF70" s="60" t="inlineStr">
        <is>
          <t>https://vstup.osvita.ua/y2026/r21/212/1650596/</t>
        </is>
      </c>
      <c r="AG70" s="60" t="n"/>
      <c r="AH70" s="60" t="n"/>
      <c r="AI70" s="52" t="n"/>
      <c r="AJ70" s="37" t="inlineStr"/>
      <c r="AK70" s="37" t="inlineStr"/>
      <c r="AL70" s="37" t="inlineStr"/>
      <c r="AM70" s="37">
        <f>IF(AJ70="","дані ще не вивантажені",IF('Бали кандидатів'!$B$7&gt;=AJ70,"проходить","НЕ проходить за ЄВВ"))</f>
        <v/>
      </c>
      <c r="AN70" s="37">
        <f>IF(AJ70="","дані ще не вивантажені",IF('Бали кандидатів'!$C$7&gt;=AJ70,"проходить","НЕ проходить за ЄВВ"))</f>
        <v/>
      </c>
    </row>
    <row r="71" ht="26.85" customHeight="1" s="38">
      <c r="A71" s="51" t="inlineStr">
        <is>
          <t>F2 Інженерія ПЗ</t>
        </is>
      </c>
      <c r="B71" s="52" t="inlineStr">
        <is>
          <t>Державний університет інформаційно-комунікаційних технологій</t>
        </is>
      </c>
      <c r="C71" s="52" t="inlineStr">
        <is>
          <t>Київ</t>
        </is>
      </c>
      <c r="D71" s="53" t="inlineStr">
        <is>
          <t>Київ</t>
        </is>
      </c>
      <c r="E71" s="54" t="inlineStr">
        <is>
          <t>ТАК</t>
        </is>
      </c>
      <c r="F71" s="53" t="inlineStr">
        <is>
          <t>Фіксована</t>
        </is>
      </c>
      <c r="G71" s="55" t="inlineStr">
        <is>
          <t>ні</t>
        </is>
      </c>
      <c r="H71" s="52" t="n"/>
      <c r="I71" s="52" t="inlineStr">
        <is>
          <t>Інженерія програмного забезпечення</t>
        </is>
      </c>
      <c r="J71" s="52" t="inlineStr">
        <is>
          <t>ННІ інформаційних технологій</t>
        </is>
      </c>
      <c r="K71" s="52" t="n">
        <v>5</v>
      </c>
      <c r="L71" s="52" t="n">
        <v>16</v>
      </c>
      <c r="M71" s="56">
        <f>IF(K71=0,"н/д",L71/K71)</f>
        <v/>
      </c>
      <c r="N71" s="52" t="inlineStr">
        <is>
          <t>26.08.2026</t>
        </is>
      </c>
      <c r="O71" s="57" t="n">
        <v>0.2</v>
      </c>
      <c r="P71" s="57" t="n">
        <v>0.4</v>
      </c>
      <c r="Q71" s="57" t="n">
        <v>0</v>
      </c>
      <c r="R71" s="52" t="n">
        <v>100</v>
      </c>
      <c r="S71" s="52" t="n">
        <v>100</v>
      </c>
      <c r="T71" s="58">
        <f>0.2*'Бали кандидатів'!$B$6+0.2*'Бали кандидатів'!$B$7+O71*'Бали кандидатів'!$B$9+P71*'Бали кандидатів'!$B$10+Q71*'Бали кандидатів'!$B$11</f>
        <v/>
      </c>
      <c r="U71" s="58">
        <f>0.2*'Бали кандидатів'!$C$6+0.2*'Бали кандидатів'!$C$7+O71*'Бали кандидатів'!$C$9+P71*'Бали кандидатів'!$C$10+Q71*'Бали кандидатів'!$C$11</f>
        <v/>
      </c>
      <c r="V71" s="59">
        <f>IF('Бали кандидатів'!$B$14&gt;=300,"OK","НЕ ДОПУЩЕНО")</f>
        <v/>
      </c>
      <c r="W71" s="59">
        <f>IF('Бали кандидатів'!$C$14&gt;=300,"OK","НЕ ДОПУЩЕНО")</f>
        <v/>
      </c>
      <c r="X71" s="52">
        <f>IF(AND(OR(R71="—",'Бали кандидатів'!$B$9&gt;=R71),OR(S71="—",'Бали кандидатів'!$B$10&gt;=S71)),"проходить","НИЖЧЕ мін. балу")</f>
        <v/>
      </c>
      <c r="Y71" s="55">
        <f>IF(AND(OR(R71="—",'Бали кандидатів'!$C$9&gt;=R71),OR(S71="—",'Бали кандидатів'!$C$10&gt;=S71)),"проходить","НИЖЧЕ мін. балу")</f>
        <v/>
      </c>
      <c r="Z71" s="55" t="inlineStr">
        <is>
          <t>Дослідницька пропозиція важить більше або нарівні з іспитом</t>
        </is>
      </c>
      <c r="AA71" s="60" t="n"/>
      <c r="AB71" s="60" t="n"/>
      <c r="AC71" s="52" t="n"/>
      <c r="AD71" s="60" t="n"/>
      <c r="AE71" s="52" t="inlineStr">
        <is>
          <t>https://vstup.osvita.ua/r27/82/entrance.html</t>
        </is>
      </c>
      <c r="AF71" s="60" t="inlineStr">
        <is>
          <t>https://vstup.osvita.ua/y2026/r27/82/1668193/</t>
        </is>
      </c>
      <c r="AG71" s="60" t="n"/>
      <c r="AH71" s="60" t="n"/>
      <c r="AI71" s="52" t="n"/>
      <c r="AJ71" s="37" t="inlineStr"/>
      <c r="AK71" s="37" t="inlineStr"/>
      <c r="AL71" s="37" t="inlineStr"/>
      <c r="AM71" s="37">
        <f>IF(AJ71="","дані ще не вивантажені",IF('Бали кандидатів'!$B$7&gt;=AJ71,"проходить","НЕ проходить за ЄВВ"))</f>
        <v/>
      </c>
      <c r="AN71" s="37">
        <f>IF(AJ71="","дані ще не вивантажені",IF('Бали кандидатів'!$C$7&gt;=AJ71,"проходить","НЕ проходить за ЄВВ"))</f>
        <v/>
      </c>
    </row>
    <row r="72" ht="15" customHeight="1" s="38">
      <c r="A72" s="51" t="inlineStr">
        <is>
          <t>F2 Інженерія ПЗ</t>
        </is>
      </c>
      <c r="B72" s="52" t="inlineStr">
        <is>
          <t>КПІ ім. Ігоря Сікорського</t>
        </is>
      </c>
      <c r="C72" s="52" t="inlineStr">
        <is>
          <t>Київ</t>
        </is>
      </c>
      <c r="D72" s="53" t="inlineStr">
        <is>
          <t>Київ</t>
        </is>
      </c>
      <c r="E72" s="54" t="inlineStr">
        <is>
          <t>ТАК</t>
        </is>
      </c>
      <c r="F72" s="53" t="inlineStr">
        <is>
          <t>Фіксована</t>
        </is>
      </c>
      <c r="G72" s="55" t="inlineStr">
        <is>
          <t>ні</t>
        </is>
      </c>
      <c r="H72" s="52" t="n"/>
      <c r="I72" s="52" t="inlineStr">
        <is>
          <t>Інженерія програмного забезпечення</t>
        </is>
      </c>
      <c r="J72" s="52" t="inlineStr">
        <is>
          <t>ННІ атомної та теплової енергетики</t>
        </is>
      </c>
      <c r="K72" s="52" t="n">
        <v>7</v>
      </c>
      <c r="L72" s="52" t="n">
        <v>23</v>
      </c>
      <c r="M72" s="56">
        <f>IF(K72=0,"н/д",L72/K72)</f>
        <v/>
      </c>
      <c r="N72" s="52" t="inlineStr">
        <is>
          <t>26.08.2026</t>
        </is>
      </c>
      <c r="O72" s="57" t="n">
        <v>0.6</v>
      </c>
      <c r="P72" s="57" t="n">
        <v>0</v>
      </c>
      <c r="Q72" s="57" t="n">
        <v>0</v>
      </c>
      <c r="R72" s="52" t="inlineStr">
        <is>
          <t>—</t>
        </is>
      </c>
      <c r="S72" s="52" t="inlineStr">
        <is>
          <t>—</t>
        </is>
      </c>
      <c r="T72" s="58">
        <f>0.2*'Бали кандидатів'!$B$6+0.2*'Бали кандидатів'!$B$7+O72*'Бали кандидатів'!$B$9+P72*'Бали кандидатів'!$B$10+Q72*'Бали кандидатів'!$B$11</f>
        <v/>
      </c>
      <c r="U72" s="58">
        <f>0.2*'Бали кандидатів'!$C$6+0.2*'Бали кандидатів'!$C$7+O72*'Бали кандидатів'!$C$9+P72*'Бали кандидатів'!$C$10+Q72*'Бали кандидатів'!$C$11</f>
        <v/>
      </c>
      <c r="V72" s="59">
        <f>IF('Бали кандидатів'!$B$14&gt;=300,"OK","НЕ ДОПУЩЕНО")</f>
        <v/>
      </c>
      <c r="W72" s="59">
        <f>IF('Бали кандидатів'!$C$14&gt;=300,"OK","НЕ ДОПУЩЕНО")</f>
        <v/>
      </c>
      <c r="X72" s="52">
        <f>IF(AND(OR(R72="—",'Бали кандидатів'!$B$9&gt;=R72),OR(S72="—",'Бали кандидатів'!$B$10&gt;=S72)),"проходить","НИЖЧЕ мін. балу")</f>
        <v/>
      </c>
      <c r="Y72" s="55">
        <f>IF(AND(OR(R72="—",'Бали кандидатів'!$C$9&gt;=R72),OR(S72="—",'Бали кандидатів'!$C$10&gt;=S72)),"проходить","НИЖЧЕ мін. балу")</f>
        <v/>
      </c>
      <c r="Z72" s="55" t="inlineStr">
        <is>
          <t>Тільки іспит зі спеціальності</t>
        </is>
      </c>
      <c r="AA72" s="60" t="n"/>
      <c r="AB72" s="60" t="n"/>
      <c r="AC72" s="52" t="n"/>
      <c r="AD72" s="60" t="n"/>
      <c r="AE72" s="52" t="inlineStr">
        <is>
          <t>https://vstup.osvita.ua/r27/174/entrance.html</t>
        </is>
      </c>
      <c r="AF72" s="60" t="inlineStr">
        <is>
          <t>https://vstup.osvita.ua/y2026/r27/174/1650565/</t>
        </is>
      </c>
      <c r="AG72" s="60" t="n"/>
      <c r="AH72" s="60" t="n"/>
      <c r="AI72" s="52" t="n"/>
      <c r="AJ72" s="37" t="inlineStr"/>
      <c r="AK72" s="37" t="inlineStr"/>
      <c r="AL72" s="37" t="inlineStr"/>
      <c r="AM72" s="37">
        <f>IF(AJ72="","дані ще не вивантажені",IF('Бали кандидатів'!$B$7&gt;=AJ72,"проходить","НЕ проходить за ЄВВ"))</f>
        <v/>
      </c>
      <c r="AN72" s="37">
        <f>IF(AJ72="","дані ще не вивантажені",IF('Бали кандидатів'!$C$7&gt;=AJ72,"проходить","НЕ проходить за ЄВВ"))</f>
        <v/>
      </c>
    </row>
    <row r="73" ht="26.85" customHeight="1" s="38">
      <c r="A73" s="51" t="inlineStr">
        <is>
          <t>F3 Комп'ютерні науки</t>
        </is>
      </c>
      <c r="B73" s="63" t="inlineStr">
        <is>
          <t>Донецький національний технічний університет</t>
        </is>
      </c>
      <c r="C73" s="52" t="inlineStr">
        <is>
          <t>Львів (переміщений)</t>
        </is>
      </c>
      <c r="D73" s="53" t="inlineStr">
        <is>
          <t>Львівська</t>
        </is>
      </c>
      <c r="E73" s="54" t="inlineStr">
        <is>
          <t>ТАК</t>
        </is>
      </c>
      <c r="F73" s="53" t="inlineStr">
        <is>
          <t>Фіксована</t>
        </is>
      </c>
      <c r="G73" s="65" t="inlineStr">
        <is>
          <t>ТАК</t>
        </is>
      </c>
      <c r="H73" s="62" t="inlineStr">
        <is>
          <t>ПЕРЕМІЩЕНИЙ — з Донецька (2014, Покровськ). УВАГА: у ЄДЕБО регіон Львівська обл., але сторонні джерела вказують Луцьк — фактичне місце уточнити у ЗВО</t>
        </is>
      </c>
      <c r="I73" s="52" t="inlineStr">
        <is>
          <t>Комп'ютерні науки</t>
        </is>
      </c>
      <c r="J73" s="52" t="inlineStr">
        <is>
          <t>Докторантура, аспірантура</t>
        </is>
      </c>
      <c r="K73" s="52" t="n">
        <v>5</v>
      </c>
      <c r="L73" s="52" t="n">
        <v>17</v>
      </c>
      <c r="M73" s="56">
        <f>IF(K73=0,"н/д",L73/K73)</f>
        <v/>
      </c>
      <c r="N73" s="52" t="inlineStr">
        <is>
          <t>26.08.2026</t>
        </is>
      </c>
      <c r="O73" s="57" t="n">
        <v>0.3</v>
      </c>
      <c r="P73" s="57" t="n">
        <v>0.3</v>
      </c>
      <c r="Q73" s="57" t="n">
        <v>0</v>
      </c>
      <c r="R73" s="52" t="n">
        <v>100</v>
      </c>
      <c r="S73" s="52" t="n">
        <v>100</v>
      </c>
      <c r="T73" s="58">
        <f>0.2*'Бали кандидатів'!$B$6+0.2*'Бали кандидатів'!$B$7+O73*'Бали кандидатів'!$B$9+P73*'Бали кандидатів'!$B$10+Q73*'Бали кандидатів'!$B$11</f>
        <v/>
      </c>
      <c r="U73" s="58">
        <f>0.2*'Бали кандидатів'!$C$6+0.2*'Бали кандидатів'!$C$7+O73*'Бали кандидатів'!$C$9+P73*'Бали кандидатів'!$C$10+Q73*'Бали кандидатів'!$C$11</f>
        <v/>
      </c>
      <c r="V73" s="59">
        <f>IF('Бали кандидатів'!$B$14&gt;=300,"OK","НЕ ДОПУЩЕНО")</f>
        <v/>
      </c>
      <c r="W73" s="59">
        <f>IF('Бали кандидатів'!$C$14&gt;=300,"OK","НЕ ДОПУЩЕНО")</f>
        <v/>
      </c>
      <c r="X73" s="52">
        <f>IF(AND(OR(R73="—",'Бали кандидатів'!$B$9&gt;=R73),OR(S73="—",'Бали кандидатів'!$B$10&gt;=S73)),"проходить","НИЖЧЕ мін. балу")</f>
        <v/>
      </c>
      <c r="Y73" s="55">
        <f>IF(AND(OR(R73="—",'Бали кандидатів'!$C$9&gt;=R73),OR(S73="—",'Бали кандидатів'!$C$10&gt;=S73)),"проходить","НИЖЧЕ мін. балу")</f>
        <v/>
      </c>
      <c r="Z73" s="55" t="inlineStr">
        <is>
          <t>Дослідницька пропозиція важить більше або нарівні з іспитом</t>
        </is>
      </c>
      <c r="AA73" s="60" t="n"/>
      <c r="AB73" s="60" t="n"/>
      <c r="AC73" s="52" t="n"/>
      <c r="AD73" s="60" t="n"/>
      <c r="AE73" s="52" t="inlineStr">
        <is>
          <t>https://vstup.osvita.ua/r14/202/entrance.html</t>
        </is>
      </c>
      <c r="AF73" s="60" t="inlineStr">
        <is>
          <t>https://vstup.osvita.ua/y2026/r14/202/1652534/</t>
        </is>
      </c>
      <c r="AG73" s="60" t="n"/>
      <c r="AH73" s="60" t="n"/>
      <c r="AI73" s="52" t="n"/>
      <c r="AJ73" s="37" t="inlineStr"/>
      <c r="AK73" s="37" t="inlineStr"/>
      <c r="AL73" s="37" t="inlineStr"/>
      <c r="AM73" s="37">
        <f>IF(AJ73="","дані ще не вивантажені",IF('Бали кандидатів'!$B$7&gt;=AJ73,"проходить","НЕ проходить за ЄВВ"))</f>
        <v/>
      </c>
      <c r="AN73" s="37">
        <f>IF(AJ73="","дані ще не вивантажені",IF('Бали кандидатів'!$C$7&gt;=AJ73,"проходить","НЕ проходить за ЄВВ"))</f>
        <v/>
      </c>
    </row>
    <row r="74" ht="15" customHeight="1" s="38">
      <c r="A74" s="51" t="inlineStr">
        <is>
          <t>F3 Комп'ютерні науки</t>
        </is>
      </c>
      <c r="B74" s="52" t="inlineStr">
        <is>
          <t>Дніпровський національний університет ім. О. Гончара</t>
        </is>
      </c>
      <c r="C74" s="52" t="inlineStr">
        <is>
          <t>Дніпро</t>
        </is>
      </c>
      <c r="D74" s="53" t="inlineStr">
        <is>
          <t>Дніпропетровська</t>
        </is>
      </c>
      <c r="E74" s="54" t="inlineStr">
        <is>
          <t>ТАК</t>
        </is>
      </c>
      <c r="F74" s="53" t="inlineStr">
        <is>
          <t>Фіксована</t>
        </is>
      </c>
      <c r="G74" s="55" t="inlineStr">
        <is>
          <t>ні</t>
        </is>
      </c>
      <c r="H74" s="52" t="n"/>
      <c r="I74" s="52" t="inlineStr">
        <is>
          <t>Комп'ютерні науки</t>
        </is>
      </c>
      <c r="J74" s="52" t="inlineStr">
        <is>
          <t>Фізики, електроніки та комп'ютерних систем</t>
        </is>
      </c>
      <c r="K74" s="52" t="n">
        <v>5</v>
      </c>
      <c r="L74" s="52" t="n">
        <v>17</v>
      </c>
      <c r="M74" s="56">
        <f>IF(K74=0,"н/д",L74/K74)</f>
        <v/>
      </c>
      <c r="N74" s="52" t="inlineStr">
        <is>
          <t>26.08.2026</t>
        </is>
      </c>
      <c r="O74" s="57" t="n">
        <v>0.6</v>
      </c>
      <c r="P74" s="57" t="n">
        <v>0</v>
      </c>
      <c r="Q74" s="57" t="n">
        <v>0</v>
      </c>
      <c r="R74" s="52" t="n">
        <v>100</v>
      </c>
      <c r="S74" s="52" t="inlineStr">
        <is>
          <t>—</t>
        </is>
      </c>
      <c r="T74" s="58">
        <f>0.2*'Бали кандидатів'!$B$6+0.2*'Бали кандидатів'!$B$7+O74*'Бали кандидатів'!$B$9+P74*'Бали кандидатів'!$B$10+Q74*'Бали кандидатів'!$B$11</f>
        <v/>
      </c>
      <c r="U74" s="58">
        <f>0.2*'Бали кандидатів'!$C$6+0.2*'Бали кандидатів'!$C$7+O74*'Бали кандидатів'!$C$9+P74*'Бали кандидатів'!$C$10+Q74*'Бали кандидатів'!$C$11</f>
        <v/>
      </c>
      <c r="V74" s="59">
        <f>IF('Бали кандидатів'!$B$14&gt;=300,"OK","НЕ ДОПУЩЕНО")</f>
        <v/>
      </c>
      <c r="W74" s="59">
        <f>IF('Бали кандидатів'!$C$14&gt;=300,"OK","НЕ ДОПУЩЕНО")</f>
        <v/>
      </c>
      <c r="X74" s="52">
        <f>IF(AND(OR(R74="—",'Бали кандидатів'!$B$9&gt;=R74),OR(S74="—",'Бали кандидатів'!$B$10&gt;=S74)),"проходить","НИЖЧЕ мін. балу")</f>
        <v/>
      </c>
      <c r="Y74" s="55">
        <f>IF(AND(OR(R74="—",'Бали кандидатів'!$C$9&gt;=R74),OR(S74="—",'Бали кандидатів'!$C$10&gt;=S74)),"проходить","НИЖЧЕ мін. балу")</f>
        <v/>
      </c>
      <c r="Z74" s="55" t="inlineStr">
        <is>
          <t>Тільки іспит зі спеціальності</t>
        </is>
      </c>
      <c r="AA74" s="60" t="n"/>
      <c r="AB74" s="60" t="n"/>
      <c r="AC74" s="52" t="n"/>
      <c r="AD74" s="60" t="n"/>
      <c r="AE74" s="52" t="inlineStr">
        <is>
          <t>https://vstup.osvita.ua/r5/111/entrance.html</t>
        </is>
      </c>
      <c r="AF74" s="60" t="inlineStr">
        <is>
          <t>https://vstup.osvita.ua/y2026/r5/111/1652977/</t>
        </is>
      </c>
      <c r="AG74" s="60" t="n"/>
      <c r="AH74" s="60" t="n"/>
      <c r="AI74" s="52" t="n"/>
      <c r="AJ74" s="37" t="inlineStr"/>
      <c r="AK74" s="37" t="inlineStr"/>
      <c r="AL74" s="37" t="inlineStr"/>
      <c r="AM74" s="37">
        <f>IF(AJ74="","дані ще не вивантажені",IF('Бали кандидатів'!$B$7&gt;=AJ74,"проходить","НЕ проходить за ЄВВ"))</f>
        <v/>
      </c>
      <c r="AN74" s="37">
        <f>IF(AJ74="","дані ще не вивантажені",IF('Бали кандидатів'!$C$7&gt;=AJ74,"проходить","НЕ проходить за ЄВВ"))</f>
        <v/>
      </c>
    </row>
    <row r="75" ht="15" customHeight="1" s="38">
      <c r="A75" s="51" t="inlineStr">
        <is>
          <t>F3 Комп'ютерні науки</t>
        </is>
      </c>
      <c r="B75" s="52" t="inlineStr">
        <is>
          <t>КПІ ім. Ігоря Сікорського</t>
        </is>
      </c>
      <c r="C75" s="52" t="inlineStr">
        <is>
          <t>Київ</t>
        </is>
      </c>
      <c r="D75" s="53" t="inlineStr">
        <is>
          <t>Київ</t>
        </is>
      </c>
      <c r="E75" s="54" t="inlineStr">
        <is>
          <t>ТАК</t>
        </is>
      </c>
      <c r="F75" s="53" t="inlineStr">
        <is>
          <t>Фіксована</t>
        </is>
      </c>
      <c r="G75" s="55" t="inlineStr">
        <is>
          <t>ні</t>
        </is>
      </c>
      <c r="H75" s="52" t="n"/>
      <c r="I75" s="52" t="inlineStr">
        <is>
          <t>Комп'ютерні науки</t>
        </is>
      </c>
      <c r="J75" s="52" t="inlineStr">
        <is>
          <t>ННІ прикладного системного аналізу</t>
        </is>
      </c>
      <c r="K75" s="52" t="n">
        <v>16</v>
      </c>
      <c r="L75" s="52" t="n">
        <v>55</v>
      </c>
      <c r="M75" s="56">
        <f>IF(K75=0,"н/д",L75/K75)</f>
        <v/>
      </c>
      <c r="N75" s="52" t="inlineStr">
        <is>
          <t>26.08.2026</t>
        </is>
      </c>
      <c r="O75" s="57" t="n">
        <v>0.6</v>
      </c>
      <c r="P75" s="57" t="n">
        <v>0</v>
      </c>
      <c r="Q75" s="57" t="n">
        <v>0</v>
      </c>
      <c r="R75" s="52" t="inlineStr">
        <is>
          <t>—</t>
        </is>
      </c>
      <c r="S75" s="52" t="inlineStr">
        <is>
          <t>—</t>
        </is>
      </c>
      <c r="T75" s="58">
        <f>0.2*'Бали кандидатів'!$B$6+0.2*'Бали кандидатів'!$B$7+O75*'Бали кандидатів'!$B$9+P75*'Бали кандидатів'!$B$10+Q75*'Бали кандидатів'!$B$11</f>
        <v/>
      </c>
      <c r="U75" s="58">
        <f>0.2*'Бали кандидатів'!$C$6+0.2*'Бали кандидатів'!$C$7+O75*'Бали кандидатів'!$C$9+P75*'Бали кандидатів'!$C$10+Q75*'Бали кандидатів'!$C$11</f>
        <v/>
      </c>
      <c r="V75" s="59">
        <f>IF('Бали кандидатів'!$B$14&gt;=300,"OK","НЕ ДОПУЩЕНО")</f>
        <v/>
      </c>
      <c r="W75" s="59">
        <f>IF('Бали кандидатів'!$C$14&gt;=300,"OK","НЕ ДОПУЩЕНО")</f>
        <v/>
      </c>
      <c r="X75" s="52">
        <f>IF(AND(OR(R75="—",'Бали кандидатів'!$B$9&gt;=R75),OR(S75="—",'Бали кандидатів'!$B$10&gt;=S75)),"проходить","НИЖЧЕ мін. балу")</f>
        <v/>
      </c>
      <c r="Y75" s="55">
        <f>IF(AND(OR(R75="—",'Бали кандидатів'!$C$9&gt;=R75),OR(S75="—",'Бали кандидатів'!$C$10&gt;=S75)),"проходить","НИЖЧЕ мін. балу")</f>
        <v/>
      </c>
      <c r="Z75" s="55" t="inlineStr">
        <is>
          <t>Тільки іспит зі спеціальності</t>
        </is>
      </c>
      <c r="AA75" s="60" t="n"/>
      <c r="AB75" s="60" t="n"/>
      <c r="AC75" s="52" t="n"/>
      <c r="AD75" s="60" t="n"/>
      <c r="AE75" s="52" t="inlineStr">
        <is>
          <t>https://vstup.osvita.ua/r27/174/entrance.html</t>
        </is>
      </c>
      <c r="AF75" s="60" t="inlineStr">
        <is>
          <t>https://vstup.osvita.ua/y2026/r27/174/1650827/</t>
        </is>
      </c>
      <c r="AG75" s="60" t="n"/>
      <c r="AH75" s="60" t="n"/>
      <c r="AI75" s="52" t="n"/>
      <c r="AJ75" s="37" t="inlineStr"/>
      <c r="AK75" s="37" t="inlineStr"/>
      <c r="AL75" s="37" t="inlineStr"/>
      <c r="AM75" s="37">
        <f>IF(AJ75="","дані ще не вивантажені",IF('Бали кандидатів'!$B$7&gt;=AJ75,"проходить","НЕ проходить за ЄВВ"))</f>
        <v/>
      </c>
      <c r="AN75" s="37">
        <f>IF(AJ75="","дані ще не вивантажені",IF('Бали кандидатів'!$C$7&gt;=AJ75,"проходить","НЕ проходить за ЄВВ"))</f>
        <v/>
      </c>
    </row>
    <row r="76" ht="15" customHeight="1" s="38">
      <c r="A76" s="51" t="inlineStr">
        <is>
          <t>F2 Інженерія ПЗ</t>
        </is>
      </c>
      <c r="B76" s="52" t="inlineStr">
        <is>
          <t>НУ «Одеська політехніка»</t>
        </is>
      </c>
      <c r="C76" s="52" t="inlineStr">
        <is>
          <t>Одеса</t>
        </is>
      </c>
      <c r="D76" s="53" t="inlineStr">
        <is>
          <t>Одеська</t>
        </is>
      </c>
      <c r="E76" s="54" t="inlineStr">
        <is>
          <t>ТАК</t>
        </is>
      </c>
      <c r="F76" s="53" t="inlineStr">
        <is>
          <t>Фіксована</t>
        </is>
      </c>
      <c r="G76" s="55" t="inlineStr">
        <is>
          <t>ні</t>
        </is>
      </c>
      <c r="H76" s="52" t="n"/>
      <c r="I76" s="52" t="inlineStr">
        <is>
          <t>Інженерія програмного забезпечення</t>
        </is>
      </c>
      <c r="J76" s="52" t="inlineStr">
        <is>
          <t>Відділ аспірантури і докторантури</t>
        </is>
      </c>
      <c r="K76" s="52" t="n">
        <v>4</v>
      </c>
      <c r="L76" s="52" t="n">
        <v>14</v>
      </c>
      <c r="M76" s="56">
        <f>IF(K76=0,"н/д",L76/K76)</f>
        <v/>
      </c>
      <c r="N76" s="52" t="inlineStr">
        <is>
          <t>26.08.2026</t>
        </is>
      </c>
      <c r="O76" s="57" t="n">
        <v>0.6</v>
      </c>
      <c r="P76" s="57" t="n">
        <v>0</v>
      </c>
      <c r="Q76" s="57" t="n">
        <v>0</v>
      </c>
      <c r="R76" s="52" t="inlineStr">
        <is>
          <t>—</t>
        </is>
      </c>
      <c r="S76" s="52" t="inlineStr">
        <is>
          <t>—</t>
        </is>
      </c>
      <c r="T76" s="58">
        <f>0.2*'Бали кандидатів'!$B$6+0.2*'Бали кандидатів'!$B$7+O76*'Бали кандидатів'!$B$9+P76*'Бали кандидатів'!$B$10+Q76*'Бали кандидатів'!$B$11</f>
        <v/>
      </c>
      <c r="U76" s="58">
        <f>0.2*'Бали кандидатів'!$C$6+0.2*'Бали кандидатів'!$C$7+O76*'Бали кандидатів'!$C$9+P76*'Бали кандидатів'!$C$10+Q76*'Бали кандидатів'!$C$11</f>
        <v/>
      </c>
      <c r="V76" s="59">
        <f>IF('Бали кандидатів'!$B$14&gt;=300,"OK","НЕ ДОПУЩЕНО")</f>
        <v/>
      </c>
      <c r="W76" s="59">
        <f>IF('Бали кандидатів'!$C$14&gt;=300,"OK","НЕ ДОПУЩЕНО")</f>
        <v/>
      </c>
      <c r="X76" s="52">
        <f>IF(AND(OR(R76="—",'Бали кандидатів'!$B$9&gt;=R76),OR(S76="—",'Бали кандидатів'!$B$10&gt;=S76)),"проходить","НИЖЧЕ мін. балу")</f>
        <v/>
      </c>
      <c r="Y76" s="55">
        <f>IF(AND(OR(R76="—",'Бали кандидатів'!$C$9&gt;=R76),OR(S76="—",'Бали кандидатів'!$C$10&gt;=S76)),"проходить","НИЖЧЕ мін. балу")</f>
        <v/>
      </c>
      <c r="Z76" s="55" t="inlineStr">
        <is>
          <t>Тільки іспит зі спеціальності</t>
        </is>
      </c>
      <c r="AA76" s="60" t="n"/>
      <c r="AB76" s="60" t="n"/>
      <c r="AC76" s="52" t="n"/>
      <c r="AD76" s="60" t="n"/>
      <c r="AE76" s="52" t="inlineStr">
        <is>
          <t>https://vstup.osvita.ua/r16/5754/entrance.html</t>
        </is>
      </c>
      <c r="AF76" s="60" t="inlineStr">
        <is>
          <t>https://vstup.osvita.ua/y2026/r16/5754/1671201/</t>
        </is>
      </c>
      <c r="AG76" s="60" t="n"/>
      <c r="AH76" s="60" t="n"/>
      <c r="AI76" s="52" t="n"/>
      <c r="AJ76" s="37" t="inlineStr"/>
      <c r="AK76" s="37" t="inlineStr"/>
      <c r="AL76" s="37" t="inlineStr"/>
      <c r="AM76" s="37">
        <f>IF(AJ76="","дані ще не вивантажені",IF('Бали кандидатів'!$B$7&gt;=AJ76,"проходить","НЕ проходить за ЄВВ"))</f>
        <v/>
      </c>
      <c r="AN76" s="37">
        <f>IF(AJ76="","дані ще не вивантажені",IF('Бали кандидатів'!$C$7&gt;=AJ76,"проходить","НЕ проходить за ЄВВ"))</f>
        <v/>
      </c>
    </row>
    <row r="77" ht="15" customHeight="1" s="38">
      <c r="A77" s="51" t="inlineStr">
        <is>
          <t>F2 Інженерія ПЗ</t>
        </is>
      </c>
      <c r="B77" s="52" t="inlineStr">
        <is>
          <t>НТУ «Харківський політехнічний інститут»</t>
        </is>
      </c>
      <c r="C77" s="52" t="inlineStr">
        <is>
          <t>Харків</t>
        </is>
      </c>
      <c r="D77" s="53" t="inlineStr">
        <is>
          <t>Харківська</t>
        </is>
      </c>
      <c r="E77" s="54" t="inlineStr">
        <is>
          <t>ТАК</t>
        </is>
      </c>
      <c r="F77" s="53" t="inlineStr">
        <is>
          <t>Фіксована</t>
        </is>
      </c>
      <c r="G77" s="55" t="inlineStr">
        <is>
          <t>ні</t>
        </is>
      </c>
      <c r="H77" s="52" t="n"/>
      <c r="I77" s="52" t="inlineStr">
        <is>
          <t>Інженерія програмного забезпечення</t>
        </is>
      </c>
      <c r="J77" s="52" t="n"/>
      <c r="K77" s="52" t="n">
        <v>7</v>
      </c>
      <c r="L77" s="52" t="n">
        <v>25</v>
      </c>
      <c r="M77" s="56">
        <f>IF(K77=0,"н/д",L77/K77)</f>
        <v/>
      </c>
      <c r="N77" s="52" t="inlineStr">
        <is>
          <t>26.08.2026</t>
        </is>
      </c>
      <c r="O77" s="57" t="n">
        <v>0.6</v>
      </c>
      <c r="P77" s="57" t="n">
        <v>0</v>
      </c>
      <c r="Q77" s="57" t="n">
        <v>0</v>
      </c>
      <c r="R77" s="52" t="inlineStr">
        <is>
          <t>—</t>
        </is>
      </c>
      <c r="S77" s="52" t="inlineStr">
        <is>
          <t>—</t>
        </is>
      </c>
      <c r="T77" s="58">
        <f>0.2*'Бали кандидатів'!$B$6+0.2*'Бали кандидатів'!$B$7+O77*'Бали кандидатів'!$B$9+P77*'Бали кандидатів'!$B$10+Q77*'Бали кандидатів'!$B$11</f>
        <v/>
      </c>
      <c r="U77" s="58">
        <f>0.2*'Бали кандидатів'!$C$6+0.2*'Бали кандидатів'!$C$7+O77*'Бали кандидатів'!$C$9+P77*'Бали кандидатів'!$C$10+Q77*'Бали кандидатів'!$C$11</f>
        <v/>
      </c>
      <c r="V77" s="59">
        <f>IF('Бали кандидатів'!$B$14&gt;=300,"OK","НЕ ДОПУЩЕНО")</f>
        <v/>
      </c>
      <c r="W77" s="59">
        <f>IF('Бали кандидатів'!$C$14&gt;=300,"OK","НЕ ДОПУЩЕНО")</f>
        <v/>
      </c>
      <c r="X77" s="52">
        <f>IF(AND(OR(R77="—",'Бали кандидатів'!$B$9&gt;=R77),OR(S77="—",'Бали кандидатів'!$B$10&gt;=S77)),"проходить","НИЖЧЕ мін. балу")</f>
        <v/>
      </c>
      <c r="Y77" s="55">
        <f>IF(AND(OR(R77="—",'Бали кандидатів'!$C$9&gt;=R77),OR(S77="—",'Бали кандидатів'!$C$10&gt;=S77)),"проходить","НИЖЧЕ мін. балу")</f>
        <v/>
      </c>
      <c r="Z77" s="55" t="inlineStr">
        <is>
          <t>Тільки іспит зі спеціальності</t>
        </is>
      </c>
      <c r="AA77" s="60" t="n"/>
      <c r="AB77" s="60" t="n"/>
      <c r="AC77" s="52" t="n"/>
      <c r="AD77" s="60" t="n"/>
      <c r="AE77" s="52" t="inlineStr">
        <is>
          <t>https://vstup.osvita.ua/r21/104/entrance.html</t>
        </is>
      </c>
      <c r="AF77" s="60" t="inlineStr">
        <is>
          <t>https://vstup.osvita.ua/y2026/r21/104/1668759/</t>
        </is>
      </c>
      <c r="AG77" s="60" t="n"/>
      <c r="AH77" s="60" t="n"/>
      <c r="AI77" s="52" t="n"/>
      <c r="AJ77" s="37" t="inlineStr"/>
      <c r="AK77" s="37" t="inlineStr"/>
      <c r="AL77" s="37" t="inlineStr"/>
      <c r="AM77" s="37">
        <f>IF(AJ77="","дані ще не вивантажені",IF('Бали кандидатів'!$B$7&gt;=AJ77,"проходить","НЕ проходить за ЄВВ"))</f>
        <v/>
      </c>
      <c r="AN77" s="37">
        <f>IF(AJ77="","дані ще не вивантажені",IF('Бали кандидатів'!$C$7&gt;=AJ77,"проходить","НЕ проходить за ЄВВ"))</f>
        <v/>
      </c>
    </row>
    <row r="78" ht="15" customHeight="1" s="38">
      <c r="A78" s="51" t="inlineStr">
        <is>
          <t>F3 Комп'ютерні науки</t>
        </is>
      </c>
      <c r="B78" s="52" t="inlineStr">
        <is>
          <t>Львівський національний університет ім. І. Франка</t>
        </is>
      </c>
      <c r="C78" s="52" t="inlineStr">
        <is>
          <t>Львів</t>
        </is>
      </c>
      <c r="D78" s="53" t="inlineStr">
        <is>
          <t>Львівська</t>
        </is>
      </c>
      <c r="E78" s="54" t="inlineStr">
        <is>
          <t>ТАК</t>
        </is>
      </c>
      <c r="F78" s="53" t="inlineStr">
        <is>
          <t>Фіксована</t>
        </is>
      </c>
      <c r="G78" s="55" t="inlineStr">
        <is>
          <t>ні</t>
        </is>
      </c>
      <c r="H78" s="52" t="n"/>
      <c r="I78" s="52" t="inlineStr">
        <is>
          <t>Комп'ютерні науки</t>
        </is>
      </c>
      <c r="J78" s="52" t="n"/>
      <c r="K78" s="52" t="n">
        <v>20</v>
      </c>
      <c r="L78" s="52" t="n">
        <v>74</v>
      </c>
      <c r="M78" s="56">
        <f>IF(K78=0,"н/д",L78/K78)</f>
        <v/>
      </c>
      <c r="N78" s="52" t="inlineStr">
        <is>
          <t>26.08.2026</t>
        </is>
      </c>
      <c r="O78" s="57" t="n">
        <v>0.6</v>
      </c>
      <c r="P78" s="57" t="n">
        <v>0</v>
      </c>
      <c r="Q78" s="57" t="n">
        <v>0</v>
      </c>
      <c r="R78" s="52" t="n">
        <v>150</v>
      </c>
      <c r="S78" s="52" t="inlineStr">
        <is>
          <t>—</t>
        </is>
      </c>
      <c r="T78" s="58">
        <f>0.2*'Бали кандидатів'!$B$6+0.2*'Бали кандидатів'!$B$7+O78*'Бали кандидатів'!$B$9+P78*'Бали кандидатів'!$B$10+Q78*'Бали кандидатів'!$B$11</f>
        <v/>
      </c>
      <c r="U78" s="58">
        <f>0.2*'Бали кандидатів'!$C$6+0.2*'Бали кандидатів'!$C$7+O78*'Бали кандидатів'!$C$9+P78*'Бали кандидатів'!$C$10+Q78*'Бали кандидатів'!$C$11</f>
        <v/>
      </c>
      <c r="V78" s="59">
        <f>IF('Бали кандидатів'!$B$14&gt;=300,"OK","НЕ ДОПУЩЕНО")</f>
        <v/>
      </c>
      <c r="W78" s="59">
        <f>IF('Бали кандидатів'!$C$14&gt;=300,"OK","НЕ ДОПУЩЕНО")</f>
        <v/>
      </c>
      <c r="X78" s="52">
        <f>IF(AND(OR(R78="—",'Бали кандидатів'!$B$9&gt;=R78),OR(S78="—",'Бали кандидатів'!$B$10&gt;=S78)),"проходить","НИЖЧЕ мін. балу")</f>
        <v/>
      </c>
      <c r="Y78" s="55">
        <f>IF(AND(OR(R78="—",'Бали кандидатів'!$C$9&gt;=R78),OR(S78="—",'Бали кандидатів'!$C$10&gt;=S78)),"проходить","НИЖЧЕ мін. балу")</f>
        <v/>
      </c>
      <c r="Z78" s="55" t="inlineStr">
        <is>
          <t>Тільки іспит зі спеціальності</t>
        </is>
      </c>
      <c r="AA78" s="54" t="inlineStr">
        <is>
          <t>Найвищий у списку мін. бал за іспит зі спеціальності — 150</t>
        </is>
      </c>
      <c r="AB78" s="54" t="inlineStr">
        <is>
          <t>19.09.2026</t>
        </is>
      </c>
      <c r="AC78" s="52" t="inlineStr">
        <is>
          <t>14:00</t>
        </is>
      </c>
      <c r="AD78" s="60" t="inlineStr">
        <is>
          <t>Львів — аудиторію уточнити у відділі аспірантури</t>
        </is>
      </c>
      <c r="AE78" s="52" t="inlineStr">
        <is>
          <t>https://vstup.osvita.ua/r14/282/entrance.html</t>
        </is>
      </c>
      <c r="AF78" s="60" t="inlineStr">
        <is>
          <t>https://vstup.osvita.ua/y2026/r14/282/1647066/</t>
        </is>
      </c>
      <c r="AG78" s="60" t="n"/>
      <c r="AH78" s="60" t="n"/>
      <c r="AI78" s="52" t="n"/>
      <c r="AJ78" s="37" t="inlineStr"/>
      <c r="AK78" s="37" t="inlineStr"/>
      <c r="AL78" s="37" t="inlineStr"/>
      <c r="AM78" s="37">
        <f>IF(AJ78="","дані ще не вивантажені",IF('Бали кандидатів'!$B$7&gt;=AJ78,"проходить","НЕ проходить за ЄВВ"))</f>
        <v/>
      </c>
      <c r="AN78" s="37">
        <f>IF(AJ78="","дані ще не вивантажені",IF('Бали кандидатів'!$C$7&gt;=AJ78,"проходить","НЕ проходить за ЄВВ"))</f>
        <v/>
      </c>
    </row>
    <row r="79" ht="15" customHeight="1" s="38">
      <c r="A79" s="51" t="inlineStr">
        <is>
          <t>F3 Комп'ютерні науки</t>
        </is>
      </c>
      <c r="B79" s="52" t="inlineStr">
        <is>
          <t>Державний торговельно-економічний університет</t>
        </is>
      </c>
      <c r="C79" s="52" t="inlineStr">
        <is>
          <t>Київ</t>
        </is>
      </c>
      <c r="D79" s="53" t="inlineStr">
        <is>
          <t>Київ</t>
        </is>
      </c>
      <c r="E79" s="54" t="inlineStr">
        <is>
          <t>ТАК</t>
        </is>
      </c>
      <c r="F79" s="53" t="inlineStr">
        <is>
          <t>Фіксована</t>
        </is>
      </c>
      <c r="G79" s="55" t="inlineStr">
        <is>
          <t>ні</t>
        </is>
      </c>
      <c r="H79" s="52" t="n"/>
      <c r="I79" s="52" t="inlineStr">
        <is>
          <t>Комп'ютерні науки</t>
        </is>
      </c>
      <c r="J79" s="52" t="n"/>
      <c r="K79" s="52" t="n">
        <v>7</v>
      </c>
      <c r="L79" s="52" t="n">
        <v>26</v>
      </c>
      <c r="M79" s="56">
        <f>IF(K79=0,"н/д",L79/K79)</f>
        <v/>
      </c>
      <c r="N79" s="52" t="inlineStr">
        <is>
          <t>26.08.2026</t>
        </is>
      </c>
      <c r="O79" s="57" t="n">
        <v>0.6</v>
      </c>
      <c r="P79" s="57" t="n">
        <v>0</v>
      </c>
      <c r="Q79" s="57" t="n">
        <v>0</v>
      </c>
      <c r="R79" s="52" t="n">
        <v>100</v>
      </c>
      <c r="S79" s="52" t="inlineStr">
        <is>
          <t>—</t>
        </is>
      </c>
      <c r="T79" s="58">
        <f>0.2*'Бали кандидатів'!$B$6+0.2*'Бали кандидатів'!$B$7+O79*'Бали кандидатів'!$B$9+P79*'Бали кандидатів'!$B$10+Q79*'Бали кандидатів'!$B$11</f>
        <v/>
      </c>
      <c r="U79" s="58">
        <f>0.2*'Бали кандидатів'!$C$6+0.2*'Бали кандидатів'!$C$7+O79*'Бали кандидатів'!$C$9+P79*'Бали кандидатів'!$C$10+Q79*'Бали кандидатів'!$C$11</f>
        <v/>
      </c>
      <c r="V79" s="59">
        <f>IF('Бали кандидатів'!$B$14&gt;=300,"OK","НЕ ДОПУЩЕНО")</f>
        <v/>
      </c>
      <c r="W79" s="59">
        <f>IF('Бали кандидатів'!$C$14&gt;=300,"OK","НЕ ДОПУЩЕНО")</f>
        <v/>
      </c>
      <c r="X79" s="52">
        <f>IF(AND(OR(R79="—",'Бали кандидатів'!$B$9&gt;=R79),OR(S79="—",'Бали кандидатів'!$B$10&gt;=S79)),"проходить","НИЖЧЕ мін. балу")</f>
        <v/>
      </c>
      <c r="Y79" s="55">
        <f>IF(AND(OR(R79="—",'Бали кандидатів'!$C$9&gt;=R79),OR(S79="—",'Бали кандидатів'!$C$10&gt;=S79)),"проходить","НИЖЧЕ мін. балу")</f>
        <v/>
      </c>
      <c r="Z79" s="55" t="inlineStr">
        <is>
          <t>Тільки іспит зі спеціальності</t>
        </is>
      </c>
      <c r="AA79" s="60" t="n"/>
      <c r="AB79" s="60" t="n"/>
      <c r="AC79" s="52" t="n"/>
      <c r="AD79" s="60" t="n"/>
      <c r="AE79" s="52" t="inlineStr">
        <is>
          <t>https://vstup.osvita.ua/r27/6594/entrance.html</t>
        </is>
      </c>
      <c r="AF79" s="60" t="inlineStr">
        <is>
          <t>https://vstup.osvita.ua/y2026/r27/6594/1650656/</t>
        </is>
      </c>
      <c r="AG79" s="60" t="n"/>
      <c r="AH79" s="60" t="n"/>
      <c r="AI79" s="52" t="n"/>
      <c r="AJ79" s="37" t="inlineStr"/>
      <c r="AK79" s="37" t="inlineStr"/>
      <c r="AL79" s="37" t="inlineStr"/>
      <c r="AM79" s="37">
        <f>IF(AJ79="","дані ще не вивантажені",IF('Бали кандидатів'!$B$7&gt;=AJ79,"проходить","НЕ проходить за ЄВВ"))</f>
        <v/>
      </c>
      <c r="AN79" s="37">
        <f>IF(AJ79="","дані ще не вивантажені",IF('Бали кандидатів'!$C$7&gt;=AJ79,"проходить","НЕ проходить за ЄВВ"))</f>
        <v/>
      </c>
    </row>
    <row r="80" ht="15" customHeight="1" s="38">
      <c r="A80" s="51" t="inlineStr">
        <is>
          <t>F2 Інженерія ПЗ</t>
        </is>
      </c>
      <c r="B80" s="52" t="inlineStr">
        <is>
          <t>Дніпровський національний університет ім. О. Гончара</t>
        </is>
      </c>
      <c r="C80" s="52" t="inlineStr">
        <is>
          <t>Дніпро</t>
        </is>
      </c>
      <c r="D80" s="53" t="inlineStr">
        <is>
          <t>Дніпропетровська</t>
        </is>
      </c>
      <c r="E80" s="54" t="inlineStr">
        <is>
          <t>ТАК</t>
        </is>
      </c>
      <c r="F80" s="53" t="inlineStr">
        <is>
          <t>Фіксована</t>
        </is>
      </c>
      <c r="G80" s="55" t="inlineStr">
        <is>
          <t>ні</t>
        </is>
      </c>
      <c r="H80" s="52" t="n"/>
      <c r="I80" s="52" t="inlineStr">
        <is>
          <t>Інженерія програмного забезпечення</t>
        </is>
      </c>
      <c r="J80" s="52" t="inlineStr">
        <is>
          <t>Прикладної математики та інформаційних технологій</t>
        </is>
      </c>
      <c r="K80" s="52" t="n">
        <v>8</v>
      </c>
      <c r="L80" s="52" t="n">
        <v>30</v>
      </c>
      <c r="M80" s="56">
        <f>IF(K80=0,"н/д",L80/K80)</f>
        <v/>
      </c>
      <c r="N80" s="52" t="inlineStr">
        <is>
          <t>26.08.2026</t>
        </is>
      </c>
      <c r="O80" s="57" t="n">
        <v>0.6</v>
      </c>
      <c r="P80" s="57" t="n">
        <v>0</v>
      </c>
      <c r="Q80" s="57" t="n">
        <v>0</v>
      </c>
      <c r="R80" s="52" t="n">
        <v>100</v>
      </c>
      <c r="S80" s="52" t="inlineStr">
        <is>
          <t>—</t>
        </is>
      </c>
      <c r="T80" s="58">
        <f>0.2*'Бали кандидатів'!$B$6+0.2*'Бали кандидатів'!$B$7+O80*'Бали кандидатів'!$B$9+P80*'Бали кандидатів'!$B$10+Q80*'Бали кандидатів'!$B$11</f>
        <v/>
      </c>
      <c r="U80" s="58">
        <f>0.2*'Бали кандидатів'!$C$6+0.2*'Бали кандидатів'!$C$7+O80*'Бали кандидатів'!$C$9+P80*'Бали кандидатів'!$C$10+Q80*'Бали кандидатів'!$C$11</f>
        <v/>
      </c>
      <c r="V80" s="59">
        <f>IF('Бали кандидатів'!$B$14&gt;=300,"OK","НЕ ДОПУЩЕНО")</f>
        <v/>
      </c>
      <c r="W80" s="59">
        <f>IF('Бали кандидатів'!$C$14&gt;=300,"OK","НЕ ДОПУЩЕНО")</f>
        <v/>
      </c>
      <c r="X80" s="52">
        <f>IF(AND(OR(R80="—",'Бали кандидатів'!$B$9&gt;=R80),OR(S80="—",'Бали кандидатів'!$B$10&gt;=S80)),"проходить","НИЖЧЕ мін. балу")</f>
        <v/>
      </c>
      <c r="Y80" s="55">
        <f>IF(AND(OR(R80="—",'Бали кандидатів'!$C$9&gt;=R80),OR(S80="—",'Бали кандидатів'!$C$10&gt;=S80)),"проходить","НИЖЧЕ мін. балу")</f>
        <v/>
      </c>
      <c r="Z80" s="55" t="inlineStr">
        <is>
          <t>Тільки іспит зі спеціальності</t>
        </is>
      </c>
      <c r="AA80" s="60" t="n"/>
      <c r="AB80" s="60" t="n"/>
      <c r="AC80" s="52" t="n"/>
      <c r="AD80" s="60" t="n"/>
      <c r="AE80" s="52" t="inlineStr">
        <is>
          <t>https://vstup.osvita.ua/r5/111/entrance.html</t>
        </is>
      </c>
      <c r="AF80" s="60" t="inlineStr">
        <is>
          <t>https://vstup.osvita.ua/y2026/r5/111/1652974/</t>
        </is>
      </c>
      <c r="AG80" s="60" t="n"/>
      <c r="AH80" s="60" t="n"/>
      <c r="AI80" s="52" t="n"/>
      <c r="AJ80" s="37" t="inlineStr"/>
      <c r="AK80" s="37" t="inlineStr"/>
      <c r="AL80" s="37" t="inlineStr"/>
      <c r="AM80" s="37">
        <f>IF(AJ80="","дані ще не вивантажені",IF('Бали кандидатів'!$B$7&gt;=AJ80,"проходить","НЕ проходить за ЄВВ"))</f>
        <v/>
      </c>
      <c r="AN80" s="37">
        <f>IF(AJ80="","дані ще не вивантажені",IF('Бали кандидатів'!$C$7&gt;=AJ80,"проходить","НЕ проходить за ЄВВ"))</f>
        <v/>
      </c>
    </row>
    <row r="81" ht="15" customHeight="1" s="38">
      <c r="A81" s="51" t="inlineStr">
        <is>
          <t>F2 Інженерія ПЗ</t>
        </is>
      </c>
      <c r="B81" s="52" t="inlineStr">
        <is>
          <t>КПІ ім. Ігоря Сікорського</t>
        </is>
      </c>
      <c r="C81" s="52" t="inlineStr">
        <is>
          <t>Київ</t>
        </is>
      </c>
      <c r="D81" s="53" t="inlineStr">
        <is>
          <t>Київ</t>
        </is>
      </c>
      <c r="E81" s="54" t="inlineStr">
        <is>
          <t>ТАК</t>
        </is>
      </c>
      <c r="F81" s="53" t="inlineStr">
        <is>
          <t>Фіксована</t>
        </is>
      </c>
      <c r="G81" s="55" t="inlineStr">
        <is>
          <t>ні</t>
        </is>
      </c>
      <c r="H81" s="52" t="n"/>
      <c r="I81" s="52" t="inlineStr">
        <is>
          <t>Інженерія програмного забезпечення</t>
        </is>
      </c>
      <c r="J81" s="52" t="inlineStr">
        <is>
          <t>Програмних систем та прикладної математики</t>
        </is>
      </c>
      <c r="K81" s="52" t="n">
        <v>4</v>
      </c>
      <c r="L81" s="52" t="n">
        <v>15</v>
      </c>
      <c r="M81" s="56">
        <f>IF(K81=0,"н/д",L81/K81)</f>
        <v/>
      </c>
      <c r="N81" s="52" t="inlineStr">
        <is>
          <t>26.08.2026</t>
        </is>
      </c>
      <c r="O81" s="57" t="n">
        <v>0.6</v>
      </c>
      <c r="P81" s="57" t="n">
        <v>0</v>
      </c>
      <c r="Q81" s="57" t="n">
        <v>0</v>
      </c>
      <c r="R81" s="52" t="inlineStr">
        <is>
          <t>—</t>
        </is>
      </c>
      <c r="S81" s="52" t="inlineStr">
        <is>
          <t>—</t>
        </is>
      </c>
      <c r="T81" s="58">
        <f>0.2*'Бали кандидатів'!$B$6+0.2*'Бали кандидатів'!$B$7+O81*'Бали кандидатів'!$B$9+P81*'Бали кандидатів'!$B$10+Q81*'Бали кандидатів'!$B$11</f>
        <v/>
      </c>
      <c r="U81" s="58">
        <f>0.2*'Бали кандидатів'!$C$6+0.2*'Бали кандидатів'!$C$7+O81*'Бали кандидатів'!$C$9+P81*'Бали кандидатів'!$C$10+Q81*'Бали кандидатів'!$C$11</f>
        <v/>
      </c>
      <c r="V81" s="59">
        <f>IF('Бали кандидатів'!$B$14&gt;=300,"OK","НЕ ДОПУЩЕНО")</f>
        <v/>
      </c>
      <c r="W81" s="59">
        <f>IF('Бали кандидатів'!$C$14&gt;=300,"OK","НЕ ДОПУЩЕНО")</f>
        <v/>
      </c>
      <c r="X81" s="52">
        <f>IF(AND(OR(R81="—",'Бали кандидатів'!$B$9&gt;=R81),OR(S81="—",'Бали кандидатів'!$B$10&gt;=S81)),"проходить","НИЖЧЕ мін. балу")</f>
        <v/>
      </c>
      <c r="Y81" s="55">
        <f>IF(AND(OR(R81="—",'Бали кандидатів'!$C$9&gt;=R81),OR(S81="—",'Бали кандидатів'!$C$10&gt;=S81)),"проходить","НИЖЧЕ мін. балу")</f>
        <v/>
      </c>
      <c r="Z81" s="55" t="inlineStr">
        <is>
          <t>Тільки іспит зі спеціальності</t>
        </is>
      </c>
      <c r="AA81" s="60" t="n"/>
      <c r="AB81" s="60" t="n"/>
      <c r="AC81" s="52" t="n"/>
      <c r="AD81" s="60" t="n"/>
      <c r="AE81" s="52" t="inlineStr">
        <is>
          <t>https://vstup.osvita.ua/r27/174/entrance.html</t>
        </is>
      </c>
      <c r="AF81" s="60" t="inlineStr">
        <is>
          <t>https://vstup.osvita.ua/y2026/r27/174/1650915/</t>
        </is>
      </c>
      <c r="AG81" s="60" t="n"/>
      <c r="AH81" s="60" t="n"/>
      <c r="AI81" s="52" t="n"/>
      <c r="AJ81" s="37" t="inlineStr"/>
      <c r="AK81" s="37" t="inlineStr"/>
      <c r="AL81" s="37" t="inlineStr"/>
      <c r="AM81" s="37">
        <f>IF(AJ81="","дані ще не вивантажені",IF('Бали кандидатів'!$B$7&gt;=AJ81,"проходить","НЕ проходить за ЄВВ"))</f>
        <v/>
      </c>
      <c r="AN81" s="37">
        <f>IF(AJ81="","дані ще не вивантажені",IF('Бали кандидатів'!$C$7&gt;=AJ81,"проходить","НЕ проходить за ЄВВ"))</f>
        <v/>
      </c>
    </row>
    <row r="82" ht="15" customHeight="1" s="38">
      <c r="A82" s="51" t="inlineStr">
        <is>
          <t>F2 Інженерія ПЗ</t>
        </is>
      </c>
      <c r="B82" s="52" t="inlineStr">
        <is>
          <t>НАЦІОНАЛЬНИЙ АЕРОКОСМІЧНИЙ УНІВЕРСИТЕТ (ХАІ)</t>
        </is>
      </c>
      <c r="C82" s="52" t="inlineStr">
        <is>
          <t>Харків</t>
        </is>
      </c>
      <c r="D82" s="53" t="inlineStr">
        <is>
          <t>Харківська</t>
        </is>
      </c>
      <c r="E82" s="54" t="inlineStr">
        <is>
          <t>ТАК</t>
        </is>
      </c>
      <c r="F82" s="53" t="inlineStr">
        <is>
          <t>Фіксована</t>
        </is>
      </c>
      <c r="G82" s="55" t="inlineStr">
        <is>
          <t>ні</t>
        </is>
      </c>
      <c r="H82" s="52" t="n"/>
      <c r="I82" s="52" t="inlineStr">
        <is>
          <t>Інженерія програмного забезпечення</t>
        </is>
      </c>
      <c r="J82" s="52" t="inlineStr">
        <is>
          <t>Програмної інженерії та бізнесу</t>
        </is>
      </c>
      <c r="K82" s="52" t="n">
        <v>5</v>
      </c>
      <c r="L82" s="52" t="n">
        <v>19</v>
      </c>
      <c r="M82" s="56">
        <f>IF(K82=0,"н/д",L82/K82)</f>
        <v/>
      </c>
      <c r="N82" s="52" t="inlineStr">
        <is>
          <t>26.08.2026</t>
        </is>
      </c>
      <c r="O82" s="57" t="n">
        <v>0.6</v>
      </c>
      <c r="P82" s="57" t="n">
        <v>0</v>
      </c>
      <c r="Q82" s="57" t="n">
        <v>0</v>
      </c>
      <c r="R82" s="52" t="inlineStr">
        <is>
          <t>—</t>
        </is>
      </c>
      <c r="S82" s="52" t="inlineStr">
        <is>
          <t>—</t>
        </is>
      </c>
      <c r="T82" s="58">
        <f>0.2*'Бали кандидатів'!$B$6+0.2*'Бали кандидатів'!$B$7+O82*'Бали кандидатів'!$B$9+P82*'Бали кандидатів'!$B$10+Q82*'Бали кандидатів'!$B$11</f>
        <v/>
      </c>
      <c r="U82" s="58">
        <f>0.2*'Бали кандидатів'!$C$6+0.2*'Бали кандидатів'!$C$7+O82*'Бали кандидатів'!$C$9+P82*'Бали кандидатів'!$C$10+Q82*'Бали кандидатів'!$C$11</f>
        <v/>
      </c>
      <c r="V82" s="59">
        <f>IF('Бали кандидатів'!$B$14&gt;=300,"OK","НЕ ДОПУЩЕНО")</f>
        <v/>
      </c>
      <c r="W82" s="59">
        <f>IF('Бали кандидатів'!$C$14&gt;=300,"OK","НЕ ДОПУЩЕНО")</f>
        <v/>
      </c>
      <c r="X82" s="52">
        <f>IF(AND(OR(R82="—",'Бали кандидатів'!$B$9&gt;=R82),OR(S82="—",'Бали кандидатів'!$B$10&gt;=S82)),"проходить","НИЖЧЕ мін. балу")</f>
        <v/>
      </c>
      <c r="Y82" s="55">
        <f>IF(AND(OR(R82="—",'Бали кандидатів'!$C$9&gt;=R82),OR(S82="—",'Бали кандидатів'!$C$10&gt;=S82)),"проходить","НИЖЧЕ мін. балу")</f>
        <v/>
      </c>
      <c r="Z82" s="55" t="inlineStr">
        <is>
          <t>Тільки іспит зі спеціальності</t>
        </is>
      </c>
      <c r="AA82" s="60" t="n"/>
      <c r="AB82" s="60" t="n"/>
      <c r="AC82" s="52" t="n"/>
      <c r="AD82" s="60" t="n"/>
      <c r="AE82" s="52" t="inlineStr">
        <is>
          <t>https://vstup.osvita.ua/r21/34/entrance.html</t>
        </is>
      </c>
      <c r="AF82" s="60" t="inlineStr">
        <is>
          <t>https://vstup.osvita.ua/y2026/r21/34/1644813/</t>
        </is>
      </c>
      <c r="AG82" s="60" t="n"/>
      <c r="AH82" s="60" t="n"/>
      <c r="AI82" s="52" t="n"/>
      <c r="AJ82" s="37" t="inlineStr"/>
      <c r="AK82" s="37" t="inlineStr"/>
      <c r="AL82" s="37" t="inlineStr"/>
      <c r="AM82" s="37">
        <f>IF(AJ82="","дані ще не вивантажені",IF('Бали кандидатів'!$B$7&gt;=AJ82,"проходить","НЕ проходить за ЄВВ"))</f>
        <v/>
      </c>
      <c r="AN82" s="37">
        <f>IF(AJ82="","дані ще не вивантажені",IF('Бали кандидатів'!$C$7&gt;=AJ82,"проходить","НЕ проходить за ЄВВ"))</f>
        <v/>
      </c>
    </row>
    <row r="83" ht="26.85" customHeight="1" s="38">
      <c r="A83" s="51" t="inlineStr">
        <is>
          <t>F3 Комп'ютерні науки</t>
        </is>
      </c>
      <c r="B83" s="52" t="inlineStr">
        <is>
          <t>Державний університет інформаційно-комунікаційних технологій</t>
        </is>
      </c>
      <c r="C83" s="52" t="inlineStr">
        <is>
          <t>Київ</t>
        </is>
      </c>
      <c r="D83" s="53" t="inlineStr">
        <is>
          <t>Київ</t>
        </is>
      </c>
      <c r="E83" s="54" t="inlineStr">
        <is>
          <t>ТАК</t>
        </is>
      </c>
      <c r="F83" s="53" t="inlineStr">
        <is>
          <t>Фіксована</t>
        </is>
      </c>
      <c r="G83" s="55" t="inlineStr">
        <is>
          <t>ні</t>
        </is>
      </c>
      <c r="H83" s="52" t="n"/>
      <c r="I83" s="52" t="inlineStr">
        <is>
          <t>Комп'ютерні науки</t>
        </is>
      </c>
      <c r="J83" s="52" t="inlineStr">
        <is>
          <t>ННІ інформаційних технологій</t>
        </is>
      </c>
      <c r="K83" s="52" t="n">
        <v>8</v>
      </c>
      <c r="L83" s="52" t="n">
        <v>31</v>
      </c>
      <c r="M83" s="56">
        <f>IF(K83=0,"н/д",L83/K83)</f>
        <v/>
      </c>
      <c r="N83" s="52" t="inlineStr">
        <is>
          <t>26.08.2026</t>
        </is>
      </c>
      <c r="O83" s="57" t="n">
        <v>0.2</v>
      </c>
      <c r="P83" s="57" t="n">
        <v>0.4</v>
      </c>
      <c r="Q83" s="57" t="n">
        <v>0</v>
      </c>
      <c r="R83" s="52" t="n">
        <v>100</v>
      </c>
      <c r="S83" s="52" t="n">
        <v>100</v>
      </c>
      <c r="T83" s="58">
        <f>0.2*'Бали кандидатів'!$B$6+0.2*'Бали кандидатів'!$B$7+O83*'Бали кандидатів'!$B$9+P83*'Бали кандидатів'!$B$10+Q83*'Бали кандидатів'!$B$11</f>
        <v/>
      </c>
      <c r="U83" s="58">
        <f>0.2*'Бали кандидатів'!$C$6+0.2*'Бали кандидатів'!$C$7+O83*'Бали кандидатів'!$C$9+P83*'Бали кандидатів'!$C$10+Q83*'Бали кандидатів'!$C$11</f>
        <v/>
      </c>
      <c r="V83" s="59">
        <f>IF('Бали кандидатів'!$B$14&gt;=300,"OK","НЕ ДОПУЩЕНО")</f>
        <v/>
      </c>
      <c r="W83" s="59">
        <f>IF('Бали кандидатів'!$C$14&gt;=300,"OK","НЕ ДОПУЩЕНО")</f>
        <v/>
      </c>
      <c r="X83" s="52">
        <f>IF(AND(OR(R83="—",'Бали кандидатів'!$B$9&gt;=R83),OR(S83="—",'Бали кандидатів'!$B$10&gt;=S83)),"проходить","НИЖЧЕ мін. балу")</f>
        <v/>
      </c>
      <c r="Y83" s="55">
        <f>IF(AND(OR(R83="—",'Бали кандидатів'!$C$9&gt;=R83),OR(S83="—",'Бали кандидатів'!$C$10&gt;=S83)),"проходить","НИЖЧЕ мін. балу")</f>
        <v/>
      </c>
      <c r="Z83" s="55" t="inlineStr">
        <is>
          <t>Дослідницька пропозиція важить більше або нарівні з іспитом</t>
        </is>
      </c>
      <c r="AA83" s="60" t="n"/>
      <c r="AB83" s="60" t="n"/>
      <c r="AC83" s="52" t="n"/>
      <c r="AD83" s="60" t="n"/>
      <c r="AE83" s="52" t="inlineStr">
        <is>
          <t>https://vstup.osvita.ua/r27/82/entrance.html</t>
        </is>
      </c>
      <c r="AF83" s="60" t="inlineStr">
        <is>
          <t>https://vstup.osvita.ua/y2026/r27/82/1647272/</t>
        </is>
      </c>
      <c r="AG83" s="60" t="n"/>
      <c r="AH83" s="60" t="n"/>
      <c r="AI83" s="52" t="n"/>
      <c r="AJ83" s="37" t="inlineStr"/>
      <c r="AK83" s="37" t="inlineStr"/>
      <c r="AL83" s="37" t="inlineStr"/>
      <c r="AM83" s="37">
        <f>IF(AJ83="","дані ще не вивантажені",IF('Бали кандидатів'!$B$7&gt;=AJ83,"проходить","НЕ проходить за ЄВВ"))</f>
        <v/>
      </c>
      <c r="AN83" s="37">
        <f>IF(AJ83="","дані ще не вивантажені",IF('Бали кандидатів'!$C$7&gt;=AJ83,"проходить","НЕ проходить за ЄВВ"))</f>
        <v/>
      </c>
    </row>
    <row r="84" ht="15" customHeight="1" s="38">
      <c r="A84" s="51" t="inlineStr">
        <is>
          <t>F3 Комп'ютерні науки</t>
        </is>
      </c>
      <c r="B84" s="52" t="inlineStr">
        <is>
          <t>НУ «Одеська юридична академія»</t>
        </is>
      </c>
      <c r="C84" s="52" t="inlineStr">
        <is>
          <t>Одеса</t>
        </is>
      </c>
      <c r="D84" s="53" t="inlineStr">
        <is>
          <t>Одеська</t>
        </is>
      </c>
      <c r="E84" s="54" t="inlineStr">
        <is>
          <t>ТАК</t>
        </is>
      </c>
      <c r="F84" s="53" t="inlineStr">
        <is>
          <t>Фіксована</t>
        </is>
      </c>
      <c r="G84" s="55" t="inlineStr">
        <is>
          <t>ні</t>
        </is>
      </c>
      <c r="H84" s="52" t="n"/>
      <c r="I84" s="52" t="inlineStr">
        <is>
          <t>Комп'ютерні науки</t>
        </is>
      </c>
      <c r="J84" s="52" t="inlineStr">
        <is>
          <t>Відділ аспірантури та докторантури</t>
        </is>
      </c>
      <c r="K84" s="52" t="n">
        <v>1</v>
      </c>
      <c r="L84" s="52" t="n">
        <v>4</v>
      </c>
      <c r="M84" s="56">
        <f>IF(K84=0,"н/д",L84/K84)</f>
        <v/>
      </c>
      <c r="N84" s="52" t="inlineStr">
        <is>
          <t>26.08.2026</t>
        </is>
      </c>
      <c r="O84" s="57" t="n">
        <v>0.2</v>
      </c>
      <c r="P84" s="57" t="n">
        <v>0</v>
      </c>
      <c r="Q84" s="57" t="n">
        <v>0.4</v>
      </c>
      <c r="R84" s="52" t="inlineStr">
        <is>
          <t>—</t>
        </is>
      </c>
      <c r="S84" s="52" t="inlineStr">
        <is>
          <t>—</t>
        </is>
      </c>
      <c r="T84" s="58">
        <f>0.2*'Бали кандидатів'!$B$6+0.2*'Бали кандидатів'!$B$7+O84*'Бали кандидатів'!$B$9+P84*'Бали кандидатів'!$B$10+Q84*'Бали кандидатів'!$B$11</f>
        <v/>
      </c>
      <c r="U84" s="58">
        <f>0.2*'Бали кандидатів'!$C$6+0.2*'Бали кандидатів'!$C$7+O84*'Бали кандидатів'!$C$9+P84*'Бали кандидатів'!$C$10+Q84*'Бали кандидатів'!$C$11</f>
        <v/>
      </c>
      <c r="V84" s="59">
        <f>IF('Бали кандидатів'!$B$14&gt;=300,"OK","НЕ ДОПУЩЕНО")</f>
        <v/>
      </c>
      <c r="W84" s="59">
        <f>IF('Бали кандидатів'!$C$14&gt;=300,"OK","НЕ ДОПУЩЕНО")</f>
        <v/>
      </c>
      <c r="X84" s="52">
        <f>IF(AND(OR(R84="—",'Бали кандидатів'!$B$9&gt;=R84),OR(S84="—",'Бали кандидатів'!$B$10&gt;=S84)),"проходить","НИЖЧЕ мін. балу")</f>
        <v/>
      </c>
      <c r="Y84" s="55">
        <f>IF(AND(OR(R84="—",'Бали кандидатів'!$C$9&gt;=R84),OR(S84="—",'Бали кандидатів'!$C$10&gt;=S84)),"проходить","НИЖЧЕ мін. балу")</f>
        <v/>
      </c>
      <c r="Z84" s="55" t="inlineStr">
        <is>
          <t>Іспит + філософія</t>
        </is>
      </c>
      <c r="AA84" s="60" t="inlineStr">
        <is>
          <t>ДВА додаткові іспити: окрема іноземна мова (0.20, мін.100) + ФІЛОСОФІЯ (0.20, мін.100)</t>
        </is>
      </c>
      <c r="AB84" s="60" t="n"/>
      <c r="AC84" s="52" t="n"/>
      <c r="AD84" s="60" t="n"/>
      <c r="AE84" s="52" t="inlineStr">
        <is>
          <t>https://vstup.osvita.ua/r16/192/entrance.html</t>
        </is>
      </c>
      <c r="AF84" s="60" t="inlineStr">
        <is>
          <t>https://vstup.osvita.ua/y2026/r16/192/1652243/</t>
        </is>
      </c>
      <c r="AG84" s="60" t="n"/>
      <c r="AH84" s="60" t="n"/>
      <c r="AI84" s="52" t="n"/>
      <c r="AJ84" s="37" t="inlineStr"/>
      <c r="AK84" s="37" t="inlineStr"/>
      <c r="AL84" s="37" t="inlineStr"/>
      <c r="AM84" s="37">
        <f>IF(AJ84="","дані ще не вивантажені",IF('Бали кандидатів'!$B$7&gt;=AJ84,"проходить","НЕ проходить за ЄВВ"))</f>
        <v/>
      </c>
      <c r="AN84" s="37">
        <f>IF(AJ84="","дані ще не вивантажені",IF('Бали кандидатів'!$C$7&gt;=AJ84,"проходить","НЕ проходить за ЄВВ"))</f>
        <v/>
      </c>
    </row>
    <row r="85" ht="26.85" customHeight="1" s="38">
      <c r="A85" s="51" t="inlineStr">
        <is>
          <t>F4 Системний аналіз</t>
        </is>
      </c>
      <c r="B85" s="52" t="inlineStr">
        <is>
          <t>Державний торговельно-економічний університет</t>
        </is>
      </c>
      <c r="C85" s="52" t="inlineStr">
        <is>
          <t>Київ</t>
        </is>
      </c>
      <c r="D85" s="53" t="inlineStr">
        <is>
          <t>Київ</t>
        </is>
      </c>
      <c r="E85" s="54" t="inlineStr">
        <is>
          <t>ТАК</t>
        </is>
      </c>
      <c r="F85" s="53" t="inlineStr">
        <is>
          <t>Фіксована</t>
        </is>
      </c>
      <c r="G85" s="55" t="inlineStr">
        <is>
          <t>ні</t>
        </is>
      </c>
      <c r="H85" s="52" t="n"/>
      <c r="I85" s="52" t="inlineStr">
        <is>
          <t>Системний аналіз та наука про дані</t>
        </is>
      </c>
      <c r="J85" s="52" t="n"/>
      <c r="K85" s="52" t="n">
        <v>3</v>
      </c>
      <c r="L85" s="52" t="n">
        <v>12</v>
      </c>
      <c r="M85" s="56">
        <f>IF(K85=0,"н/д",L85/K85)</f>
        <v/>
      </c>
      <c r="N85" s="52" t="inlineStr">
        <is>
          <t>26.08.2026</t>
        </is>
      </c>
      <c r="O85" s="63" t="inlineStr">
        <is>
          <t>?</t>
        </is>
      </c>
      <c r="P85" s="63" t="inlineStr">
        <is>
          <t>?</t>
        </is>
      </c>
      <c r="Q85" s="63" t="inlineStr">
        <is>
          <t>?</t>
        </is>
      </c>
      <c r="R85" s="52" t="inlineStr">
        <is>
          <t>?</t>
        </is>
      </c>
      <c r="S85" s="52" t="inlineStr">
        <is>
          <t>?</t>
        </is>
      </c>
      <c r="T85" s="64" t="inlineStr">
        <is>
          <t>ваги невідомі</t>
        </is>
      </c>
      <c r="U85" s="64" t="inlineStr">
        <is>
          <t>ваги невідомі</t>
        </is>
      </c>
      <c r="V85" s="59">
        <f>IF('Бали кандидатів'!$B$14&gt;=300,"OK","НЕ ДОПУЩЕНО")</f>
        <v/>
      </c>
      <c r="W85" s="59">
        <f>IF('Бали кандидатів'!$C$14&gt;=300,"OK","НЕ ДОПУЩЕНО")</f>
        <v/>
      </c>
      <c r="X85" s="52" t="inlineStr">
        <is>
          <t>—</t>
        </is>
      </c>
      <c r="Y85" s="55" t="inlineStr">
        <is>
          <t>—</t>
        </is>
      </c>
      <c r="Z85" s="55" t="inlineStr">
        <is>
          <t>ваги не зчитані — уточнити на сторінці пропозиції</t>
        </is>
      </c>
      <c r="AA85" s="60" t="inlineStr">
        <is>
          <t>Складові конкурсного бала у вихідних даних відсутні — відкрити «Детальніше» на сторінці ЗВО</t>
        </is>
      </c>
      <c r="AB85" s="60" t="n"/>
      <c r="AC85" s="52" t="n"/>
      <c r="AD85" s="60" t="n"/>
      <c r="AE85" s="52" t="inlineStr">
        <is>
          <t>https://vstup.osvita.ua/r27/6594/entrance.html</t>
        </is>
      </c>
      <c r="AF85" s="60" t="inlineStr">
        <is>
          <t>https://vstup.osvita.ua/r27/6594/</t>
        </is>
      </c>
      <c r="AG85" s="60" t="n"/>
      <c r="AH85" s="60" t="n"/>
      <c r="AI85" s="52" t="n"/>
      <c r="AJ85" s="37" t="inlineStr"/>
      <c r="AK85" s="37" t="inlineStr"/>
      <c r="AL85" s="37" t="inlineStr"/>
      <c r="AM85" s="37">
        <f>IF(AJ85="","дані ще не вивантажені",IF('Бали кандидатів'!$B$7&gt;=AJ85,"проходить","НЕ проходить за ЄВВ"))</f>
        <v/>
      </c>
      <c r="AN85" s="37">
        <f>IF(AJ85="","дані ще не вивантажені",IF('Бали кандидатів'!$C$7&gt;=AJ85,"проходить","НЕ проходить за ЄВВ"))</f>
        <v/>
      </c>
    </row>
    <row r="86" ht="15" customHeight="1" s="38">
      <c r="A86" s="51" t="inlineStr">
        <is>
          <t>F3 Комп'ютерні науки</t>
        </is>
      </c>
      <c r="B86" s="52" t="inlineStr">
        <is>
          <t>Київський національний університет ім. Т. Шевченка</t>
        </is>
      </c>
      <c r="C86" s="52" t="inlineStr">
        <is>
          <t>Київ</t>
        </is>
      </c>
      <c r="D86" s="53" t="inlineStr">
        <is>
          <t>Київ</t>
        </is>
      </c>
      <c r="E86" s="54" t="inlineStr">
        <is>
          <t>ТАК</t>
        </is>
      </c>
      <c r="F86" s="53" t="inlineStr">
        <is>
          <t>Фіксована</t>
        </is>
      </c>
      <c r="G86" s="55" t="inlineStr">
        <is>
          <t>ні</t>
        </is>
      </c>
      <c r="H86" s="52" t="n"/>
      <c r="I86" s="52" t="inlineStr">
        <is>
          <t>Комп'ютерні науки</t>
        </is>
      </c>
      <c r="J86" s="52" t="inlineStr">
        <is>
          <t>Комп'ютерних наук та кібернетики</t>
        </is>
      </c>
      <c r="K86" s="52" t="n">
        <v>11</v>
      </c>
      <c r="L86" s="52" t="n">
        <v>45</v>
      </c>
      <c r="M86" s="56">
        <f>IF(K86=0,"н/д",L86/K86)</f>
        <v/>
      </c>
      <c r="N86" s="52" t="inlineStr">
        <is>
          <t>26.08.2026</t>
        </is>
      </c>
      <c r="O86" s="57" t="n">
        <v>0.6</v>
      </c>
      <c r="P86" s="57" t="n">
        <v>0</v>
      </c>
      <c r="Q86" s="57" t="n">
        <v>0</v>
      </c>
      <c r="R86" s="52" t="n">
        <v>100</v>
      </c>
      <c r="S86" s="52" t="inlineStr">
        <is>
          <t>—</t>
        </is>
      </c>
      <c r="T86" s="58">
        <f>0.2*'Бали кандидатів'!$B$6+0.2*'Бали кандидатів'!$B$7+O86*'Бали кандидатів'!$B$9+P86*'Бали кандидатів'!$B$10+Q86*'Бали кандидатів'!$B$11</f>
        <v/>
      </c>
      <c r="U86" s="58">
        <f>0.2*'Бали кандидатів'!$C$6+0.2*'Бали кандидатів'!$C$7+O86*'Бали кандидатів'!$C$9+P86*'Бали кандидатів'!$C$10+Q86*'Бали кандидатів'!$C$11</f>
        <v/>
      </c>
      <c r="V86" s="59">
        <f>IF('Бали кандидатів'!$B$14&gt;=300,"OK","НЕ ДОПУЩЕНО")</f>
        <v/>
      </c>
      <c r="W86" s="59">
        <f>IF('Бали кандидатів'!$C$14&gt;=300,"OK","НЕ ДОПУЩЕНО")</f>
        <v/>
      </c>
      <c r="X86" s="52">
        <f>IF(AND(OR(R86="—",'Бали кандидатів'!$B$9&gt;=R86),OR(S86="—",'Бали кандидатів'!$B$10&gt;=S86)),"проходить","НИЖЧЕ мін. балу")</f>
        <v/>
      </c>
      <c r="Y86" s="55">
        <f>IF(AND(OR(R86="—",'Бали кандидатів'!$C$9&gt;=R86),OR(S86="—",'Бали кандидатів'!$C$10&gt;=S86)),"проходить","НИЖЧЕ мін. балу")</f>
        <v/>
      </c>
      <c r="Z86" s="55" t="inlineStr">
        <is>
          <t>Тільки іспит зі спеціальності</t>
        </is>
      </c>
      <c r="AA86" s="60" t="n"/>
      <c r="AB86" s="60" t="n"/>
      <c r="AC86" s="52" t="n"/>
      <c r="AD86" s="60" t="n"/>
      <c r="AE86" s="52" t="inlineStr">
        <is>
          <t>https://vstup.osvita.ua/r27/41/entrance.html</t>
        </is>
      </c>
      <c r="AF86" s="60" t="inlineStr">
        <is>
          <t>https://vstup.osvita.ua/y2026/r27/41/1649256/</t>
        </is>
      </c>
      <c r="AG86" s="60" t="n"/>
      <c r="AH86" s="60" t="n"/>
      <c r="AI86" s="52" t="n"/>
      <c r="AJ86" s="37" t="inlineStr"/>
      <c r="AK86" s="37" t="inlineStr"/>
      <c r="AL86" s="37" t="inlineStr"/>
      <c r="AM86" s="37">
        <f>IF(AJ86="","дані ще не вивантажені",IF('Бали кандидатів'!$B$7&gt;=AJ86,"проходить","НЕ проходить за ЄВВ"))</f>
        <v/>
      </c>
      <c r="AN86" s="37">
        <f>IF(AJ86="","дані ще не вивантажені",IF('Бали кандидатів'!$C$7&gt;=AJ86,"проходить","НЕ проходить за ЄВВ"))</f>
        <v/>
      </c>
    </row>
    <row r="87" ht="15" customHeight="1" s="38">
      <c r="A87" s="51" t="inlineStr">
        <is>
          <t>F3 Комп'ютерні науки</t>
        </is>
      </c>
      <c r="B87" s="52" t="inlineStr">
        <is>
          <t>КПІ ім. Ігоря Сікорського</t>
        </is>
      </c>
      <c r="C87" s="52" t="inlineStr">
        <is>
          <t>Київ</t>
        </is>
      </c>
      <c r="D87" s="53" t="inlineStr">
        <is>
          <t>Київ</t>
        </is>
      </c>
      <c r="E87" s="54" t="inlineStr">
        <is>
          <t>ТАК</t>
        </is>
      </c>
      <c r="F87" s="53" t="inlineStr">
        <is>
          <t>Фіксована</t>
        </is>
      </c>
      <c r="G87" s="55" t="inlineStr">
        <is>
          <t>ні</t>
        </is>
      </c>
      <c r="H87" s="52" t="n"/>
      <c r="I87" s="52" t="inlineStr">
        <is>
          <t>Комп'ютерні науки</t>
        </is>
      </c>
      <c r="J87" s="52" t="inlineStr">
        <is>
          <t>ННІ атомної та теплової енергетики</t>
        </is>
      </c>
      <c r="K87" s="52" t="n">
        <v>5</v>
      </c>
      <c r="L87" s="52" t="n">
        <v>21</v>
      </c>
      <c r="M87" s="56">
        <f>IF(K87=0,"н/д",L87/K87)</f>
        <v/>
      </c>
      <c r="N87" s="52" t="inlineStr">
        <is>
          <t>26.08.2026</t>
        </is>
      </c>
      <c r="O87" s="57" t="n">
        <v>0.6</v>
      </c>
      <c r="P87" s="57" t="n">
        <v>0</v>
      </c>
      <c r="Q87" s="57" t="n">
        <v>0</v>
      </c>
      <c r="R87" s="52" t="inlineStr">
        <is>
          <t>—</t>
        </is>
      </c>
      <c r="S87" s="52" t="inlineStr">
        <is>
          <t>—</t>
        </is>
      </c>
      <c r="T87" s="58">
        <f>0.2*'Бали кандидатів'!$B$6+0.2*'Бали кандидатів'!$B$7+O87*'Бали кандидатів'!$B$9+P87*'Бали кандидатів'!$B$10+Q87*'Бали кандидатів'!$B$11</f>
        <v/>
      </c>
      <c r="U87" s="58">
        <f>0.2*'Бали кандидатів'!$C$6+0.2*'Бали кандидатів'!$C$7+O87*'Бали кандидатів'!$C$9+P87*'Бали кандидатів'!$C$10+Q87*'Бали кандидатів'!$C$11</f>
        <v/>
      </c>
      <c r="V87" s="59">
        <f>IF('Бали кандидатів'!$B$14&gt;=300,"OK","НЕ ДОПУЩЕНО")</f>
        <v/>
      </c>
      <c r="W87" s="59">
        <f>IF('Бали кандидатів'!$C$14&gt;=300,"OK","НЕ ДОПУЩЕНО")</f>
        <v/>
      </c>
      <c r="X87" s="52">
        <f>IF(AND(OR(R87="—",'Бали кандидатів'!$B$9&gt;=R87),OR(S87="—",'Бали кандидатів'!$B$10&gt;=S87)),"проходить","НИЖЧЕ мін. балу")</f>
        <v/>
      </c>
      <c r="Y87" s="55">
        <f>IF(AND(OR(R87="—",'Бали кандидатів'!$C$9&gt;=R87),OR(S87="—",'Бали кандидатів'!$C$10&gt;=S87)),"проходить","НИЖЧЕ мін. балу")</f>
        <v/>
      </c>
      <c r="Z87" s="55" t="inlineStr">
        <is>
          <t>Тільки іспит зі спеціальності</t>
        </is>
      </c>
      <c r="AA87" s="60" t="n"/>
      <c r="AB87" s="60" t="n"/>
      <c r="AC87" s="52" t="n"/>
      <c r="AD87" s="60" t="n"/>
      <c r="AE87" s="52" t="inlineStr">
        <is>
          <t>https://vstup.osvita.ua/r27/174/entrance.html</t>
        </is>
      </c>
      <c r="AF87" s="60" t="inlineStr">
        <is>
          <t>https://vstup.osvita.ua/y2026/r27/174/1650612/</t>
        </is>
      </c>
      <c r="AG87" s="60" t="n"/>
      <c r="AH87" s="60" t="n"/>
      <c r="AI87" s="52" t="n"/>
      <c r="AJ87" s="37" t="inlineStr"/>
      <c r="AK87" s="37" t="inlineStr"/>
      <c r="AL87" s="37" t="inlineStr"/>
      <c r="AM87" s="37">
        <f>IF(AJ87="","дані ще не вивантажені",IF('Бали кандидатів'!$B$7&gt;=AJ87,"проходить","НЕ проходить за ЄВВ"))</f>
        <v/>
      </c>
      <c r="AN87" s="37">
        <f>IF(AJ87="","дані ще не вивантажені",IF('Бали кандидатів'!$C$7&gt;=AJ87,"проходить","НЕ проходить за ЄВВ"))</f>
        <v/>
      </c>
    </row>
    <row r="88" ht="15" customHeight="1" s="38">
      <c r="A88" s="51" t="inlineStr">
        <is>
          <t>F3 Комп'ютерні науки</t>
        </is>
      </c>
      <c r="B88" s="52" t="inlineStr">
        <is>
          <t>Інститут проблем реєстрації інформації НАНУ</t>
        </is>
      </c>
      <c r="C88" s="52" t="inlineStr">
        <is>
          <t>Київ</t>
        </is>
      </c>
      <c r="D88" s="53" t="inlineStr">
        <is>
          <t>Київ</t>
        </is>
      </c>
      <c r="E88" s="54" t="inlineStr">
        <is>
          <t>ТАК</t>
        </is>
      </c>
      <c r="F88" s="53" t="inlineStr">
        <is>
          <t>Фіксована</t>
        </is>
      </c>
      <c r="G88" s="55" t="inlineStr">
        <is>
          <t>ні</t>
        </is>
      </c>
      <c r="H88" s="52" t="n"/>
      <c r="I88" s="52" t="inlineStr">
        <is>
          <t>Комп'ютерні науки</t>
        </is>
      </c>
      <c r="J88" s="52" t="n"/>
      <c r="K88" s="52" t="n">
        <v>2</v>
      </c>
      <c r="L88" s="52" t="n">
        <v>9</v>
      </c>
      <c r="M88" s="56">
        <f>IF(K88=0,"н/д",L88/K88)</f>
        <v/>
      </c>
      <c r="N88" s="52" t="inlineStr">
        <is>
          <t>26.08.2026</t>
        </is>
      </c>
      <c r="O88" s="57" t="n">
        <v>0.4</v>
      </c>
      <c r="P88" s="57" t="n">
        <v>0.2</v>
      </c>
      <c r="Q88" s="57" t="n">
        <v>0</v>
      </c>
      <c r="R88" s="52" t="inlineStr">
        <is>
          <t>—</t>
        </is>
      </c>
      <c r="S88" s="52" t="n">
        <v>150</v>
      </c>
      <c r="T88" s="58">
        <f>0.2*'Бали кандидатів'!$B$6+0.2*'Бали кандидатів'!$B$7+O88*'Бали кандидатів'!$B$9+P88*'Бали кандидатів'!$B$10+Q88*'Бали кандидатів'!$B$11</f>
        <v/>
      </c>
      <c r="U88" s="58">
        <f>0.2*'Бали кандидатів'!$C$6+0.2*'Бали кандидатів'!$C$7+O88*'Бали кандидатів'!$C$9+P88*'Бали кандидатів'!$C$10+Q88*'Бали кандидатів'!$C$11</f>
        <v/>
      </c>
      <c r="V88" s="59">
        <f>IF('Бали кандидатів'!$B$14&gt;=300,"OK","НЕ ДОПУЩЕНО")</f>
        <v/>
      </c>
      <c r="W88" s="59">
        <f>IF('Бали кандидатів'!$C$14&gt;=300,"OK","НЕ ДОПУЩЕНО")</f>
        <v/>
      </c>
      <c r="X88" s="52">
        <f>IF(AND(OR(R88="—",'Бали кандидатів'!$B$9&gt;=R88),OR(S88="—",'Бали кандидатів'!$B$10&gt;=S88)),"проходить","НИЖЧЕ мін. балу")</f>
        <v/>
      </c>
      <c r="Y88" s="55">
        <f>IF(AND(OR(R88="—",'Бали кандидатів'!$C$9&gt;=R88),OR(S88="—",'Бали кандидатів'!$C$10&gt;=S88)),"проходить","НИЖЧЕ мін. балу")</f>
        <v/>
      </c>
      <c r="Z88" s="55" t="inlineStr">
        <is>
          <t>Іспит + дослідницька пропозиція</t>
        </is>
      </c>
      <c r="AA88" s="60" t="n"/>
      <c r="AB88" s="60" t="n"/>
      <c r="AC88" s="52" t="n"/>
      <c r="AD88" s="60" t="n"/>
      <c r="AE88" s="52" t="inlineStr">
        <is>
          <t>https://vstup.osvita.ua/r27/3908/entrance.html</t>
        </is>
      </c>
      <c r="AF88" s="60" t="inlineStr">
        <is>
          <t>https://vstup.osvita.ua/y2026/r27/3908/1658025/</t>
        </is>
      </c>
      <c r="AG88" s="60" t="n"/>
      <c r="AH88" s="60" t="n"/>
      <c r="AI88" s="52" t="n"/>
      <c r="AJ88" s="37" t="inlineStr"/>
      <c r="AK88" s="37" t="inlineStr"/>
      <c r="AL88" s="37" t="inlineStr"/>
      <c r="AM88" s="37">
        <f>IF(AJ88="","дані ще не вивантажені",IF('Бали кандидатів'!$B$7&gt;=AJ88,"проходить","НЕ проходить за ЄВВ"))</f>
        <v/>
      </c>
      <c r="AN88" s="37">
        <f>IF(AJ88="","дані ще не вивантажені",IF('Бали кандидатів'!$C$7&gt;=AJ88,"проходить","НЕ проходить за ЄВВ"))</f>
        <v/>
      </c>
    </row>
    <row r="89" ht="15" customHeight="1" s="38">
      <c r="A89" s="51" t="inlineStr">
        <is>
          <t>F2 Інженерія ПЗ</t>
        </is>
      </c>
      <c r="B89" s="52" t="inlineStr">
        <is>
          <t>НТУ «Дніпровська політехніка»</t>
        </is>
      </c>
      <c r="C89" s="52" t="inlineStr">
        <is>
          <t>Дніпро</t>
        </is>
      </c>
      <c r="D89" s="53" t="inlineStr">
        <is>
          <t>Дніпропетровська</t>
        </is>
      </c>
      <c r="E89" s="54" t="inlineStr">
        <is>
          <t>ТАК</t>
        </is>
      </c>
      <c r="F89" s="53" t="inlineStr">
        <is>
          <t>Фіксована</t>
        </is>
      </c>
      <c r="G89" s="55" t="inlineStr">
        <is>
          <t>ні</t>
        </is>
      </c>
      <c r="H89" s="52" t="n"/>
      <c r="I89" s="52" t="inlineStr">
        <is>
          <t>Інженерія програмного забезпечення</t>
        </is>
      </c>
      <c r="J89" s="52" t="inlineStr">
        <is>
          <t>Аспірантура і докторантура</t>
        </is>
      </c>
      <c r="K89" s="52" t="n">
        <v>4</v>
      </c>
      <c r="L89" s="52" t="n">
        <v>18</v>
      </c>
      <c r="M89" s="56">
        <f>IF(K89=0,"н/д",L89/K89)</f>
        <v/>
      </c>
      <c r="N89" s="52" t="inlineStr">
        <is>
          <t>26.08.2026</t>
        </is>
      </c>
      <c r="O89" s="57" t="n">
        <v>0.6</v>
      </c>
      <c r="P89" s="57" t="n">
        <v>0</v>
      </c>
      <c r="Q89" s="57" t="n">
        <v>0</v>
      </c>
      <c r="R89" s="52" t="inlineStr">
        <is>
          <t>—</t>
        </is>
      </c>
      <c r="S89" s="52" t="inlineStr">
        <is>
          <t>—</t>
        </is>
      </c>
      <c r="T89" s="58">
        <f>0.2*'Бали кандидатів'!$B$6+0.2*'Бали кандидатів'!$B$7+O89*'Бали кандидатів'!$B$9+P89*'Бали кандидатів'!$B$10+Q89*'Бали кандидатів'!$B$11</f>
        <v/>
      </c>
      <c r="U89" s="58">
        <f>0.2*'Бали кандидатів'!$C$6+0.2*'Бали кандидатів'!$C$7+O89*'Бали кандидатів'!$C$9+P89*'Бали кандидатів'!$C$10+Q89*'Бали кандидатів'!$C$11</f>
        <v/>
      </c>
      <c r="V89" s="59">
        <f>IF('Бали кандидатів'!$B$14&gt;=300,"OK","НЕ ДОПУЩЕНО")</f>
        <v/>
      </c>
      <c r="W89" s="59">
        <f>IF('Бали кандидатів'!$C$14&gt;=300,"OK","НЕ ДОПУЩЕНО")</f>
        <v/>
      </c>
      <c r="X89" s="52">
        <f>IF(AND(OR(R89="—",'Бали кандидатів'!$B$9&gt;=R89),OR(S89="—",'Бали кандидатів'!$B$10&gt;=S89)),"проходить","НИЖЧЕ мін. балу")</f>
        <v/>
      </c>
      <c r="Y89" s="55">
        <f>IF(AND(OR(R89="—",'Бали кандидатів'!$C$9&gt;=R89),OR(S89="—",'Бали кандидатів'!$C$10&gt;=S89)),"проходить","НИЖЧЕ мін. балу")</f>
        <v/>
      </c>
      <c r="Z89" s="55" t="inlineStr">
        <is>
          <t>Тільки іспит зі спеціальності</t>
        </is>
      </c>
      <c r="AA89" s="60" t="n"/>
      <c r="AB89" s="60" t="n"/>
      <c r="AC89" s="52" t="n"/>
      <c r="AD89" s="60" t="n"/>
      <c r="AE89" s="52" t="inlineStr">
        <is>
          <t>https://vstup.osvita.ua/r5/36/entrance.html</t>
        </is>
      </c>
      <c r="AF89" s="60" t="inlineStr">
        <is>
          <t>https://vstup.osvita.ua/y2026/r5/36/1643086/</t>
        </is>
      </c>
      <c r="AG89" s="60" t="n"/>
      <c r="AH89" s="60" t="n"/>
      <c r="AI89" s="52" t="n"/>
      <c r="AJ89" s="37" t="inlineStr"/>
      <c r="AK89" s="37" t="inlineStr"/>
      <c r="AL89" s="37" t="inlineStr"/>
      <c r="AM89" s="37">
        <f>IF(AJ89="","дані ще не вивантажені",IF('Бали кандидатів'!$B$7&gt;=AJ89,"проходить","НЕ проходить за ЄВВ"))</f>
        <v/>
      </c>
      <c r="AN89" s="37">
        <f>IF(AJ89="","дані ще не вивантажені",IF('Бали кандидатів'!$C$7&gt;=AJ89,"проходить","НЕ проходить за ЄВВ"))</f>
        <v/>
      </c>
    </row>
    <row r="90" ht="26.85" customHeight="1" s="38">
      <c r="A90" s="51" t="inlineStr">
        <is>
          <t>F3 Комп'ютерні науки</t>
        </is>
      </c>
      <c r="B90" s="52" t="inlineStr">
        <is>
          <t>Київський національний університет технологій та дизайну</t>
        </is>
      </c>
      <c r="C90" s="52" t="inlineStr">
        <is>
          <t>Київ</t>
        </is>
      </c>
      <c r="D90" s="53" t="inlineStr">
        <is>
          <t>Київ</t>
        </is>
      </c>
      <c r="E90" s="54" t="inlineStr">
        <is>
          <t>ТАК</t>
        </is>
      </c>
      <c r="F90" s="53" t="inlineStr">
        <is>
          <t>Фіксована</t>
        </is>
      </c>
      <c r="G90" s="55" t="inlineStr">
        <is>
          <t>ні</t>
        </is>
      </c>
      <c r="H90" s="52" t="n"/>
      <c r="I90" s="52" t="inlineStr">
        <is>
          <t>Комп'ютерні науки</t>
        </is>
      </c>
      <c r="J90" s="52" t="inlineStr">
        <is>
          <t>Міжнародний інститут аспірантури і докторантури</t>
        </is>
      </c>
      <c r="K90" s="52" t="n">
        <v>5</v>
      </c>
      <c r="L90" s="61" t="n">
        <v>23</v>
      </c>
      <c r="M90" s="56">
        <f>IF(K90=0,"н/д",L90/K90)</f>
        <v/>
      </c>
      <c r="N90" s="62" t="inlineStr">
        <is>
          <t>25.08.2026 (застаріле)</t>
        </is>
      </c>
      <c r="O90" s="57" t="n">
        <v>0.3</v>
      </c>
      <c r="P90" s="57" t="n">
        <v>0.3</v>
      </c>
      <c r="Q90" s="57" t="n">
        <v>0</v>
      </c>
      <c r="R90" s="52" t="n">
        <v>100</v>
      </c>
      <c r="S90" s="52" t="n">
        <v>100</v>
      </c>
      <c r="T90" s="58">
        <f>0.2*'Бали кандидатів'!$B$6+0.2*'Бали кандидатів'!$B$7+O90*'Бали кандидатів'!$B$9+P90*'Бали кандидатів'!$B$10+Q90*'Бали кандидатів'!$B$11</f>
        <v/>
      </c>
      <c r="U90" s="58">
        <f>0.2*'Бали кандидатів'!$C$6+0.2*'Бали кандидатів'!$C$7+O90*'Бали кандидатів'!$C$9+P90*'Бали кандидатів'!$C$10+Q90*'Бали кандидатів'!$C$11</f>
        <v/>
      </c>
      <c r="V90" s="59">
        <f>IF('Бали кандидатів'!$B$14&gt;=300,"OK","НЕ ДОПУЩЕНО")</f>
        <v/>
      </c>
      <c r="W90" s="59">
        <f>IF('Бали кандидатів'!$C$14&gt;=300,"OK","НЕ ДОПУЩЕНО")</f>
        <v/>
      </c>
      <c r="X90" s="52">
        <f>IF(AND(OR(R90="—",'Бали кандидатів'!$B$9&gt;=R90),OR(S90="—",'Бали кандидатів'!$B$10&gt;=S90)),"проходить","НИЖЧЕ мін. балу")</f>
        <v/>
      </c>
      <c r="Y90" s="55">
        <f>IF(AND(OR(R90="—",'Бали кандидатів'!$C$9&gt;=R90),OR(S90="—",'Бали кандидатів'!$C$10&gt;=S90)),"проходить","НИЖЧЕ мін. балу")</f>
        <v/>
      </c>
      <c r="Z90" s="55" t="inlineStr">
        <is>
          <t>Дослідницька пропозиція важить більше або нарівні з іспитом</t>
        </is>
      </c>
      <c r="AA90" s="60" t="n"/>
      <c r="AB90" s="60" t="n"/>
      <c r="AC90" s="52" t="n"/>
      <c r="AD90" s="60" t="n"/>
      <c r="AE90" s="52" t="inlineStr">
        <is>
          <t>https://vstup.osvita.ua/r27/307/entrance.html</t>
        </is>
      </c>
      <c r="AF90" s="60" t="inlineStr">
        <is>
          <t>https://vstup.osvita.ua/y2026/r27/307/1652664/</t>
        </is>
      </c>
      <c r="AG90" s="60" t="n"/>
      <c r="AH90" s="60" t="n"/>
      <c r="AI90" s="52" t="n"/>
      <c r="AJ90" s="37" t="inlineStr"/>
      <c r="AK90" s="37" t="inlineStr"/>
      <c r="AL90" s="37" t="inlineStr"/>
      <c r="AM90" s="37">
        <f>IF(AJ90="","дані ще не вивантажені",IF('Бали кандидатів'!$B$7&gt;=AJ90,"проходить","НЕ проходить за ЄВВ"))</f>
        <v/>
      </c>
      <c r="AN90" s="37">
        <f>IF(AJ90="","дані ще не вивантажені",IF('Бали кандидатів'!$C$7&gt;=AJ90,"проходить","НЕ проходить за ЄВВ"))</f>
        <v/>
      </c>
    </row>
    <row r="91" ht="15" customHeight="1" s="38">
      <c r="A91" s="51" t="inlineStr">
        <is>
          <t>F2 Інженерія ПЗ</t>
        </is>
      </c>
      <c r="B91" s="52" t="inlineStr">
        <is>
          <t>Київський національний університет ім. Т. Шевченка</t>
        </is>
      </c>
      <c r="C91" s="52" t="inlineStr">
        <is>
          <t>Київ</t>
        </is>
      </c>
      <c r="D91" s="53" t="inlineStr">
        <is>
          <t>Київ</t>
        </is>
      </c>
      <c r="E91" s="54" t="inlineStr">
        <is>
          <t>ТАК</t>
        </is>
      </c>
      <c r="F91" s="53" t="inlineStr">
        <is>
          <t>Фіксована</t>
        </is>
      </c>
      <c r="G91" s="55" t="inlineStr">
        <is>
          <t>ні</t>
        </is>
      </c>
      <c r="H91" s="52" t="n"/>
      <c r="I91" s="52" t="inlineStr">
        <is>
          <t>Інженерія програмного забезпечення</t>
        </is>
      </c>
      <c r="J91" s="52" t="inlineStr">
        <is>
          <t>Комп'ютерних наук та кібернетики</t>
        </is>
      </c>
      <c r="K91" s="52" t="n">
        <v>7</v>
      </c>
      <c r="L91" s="52" t="n">
        <v>33</v>
      </c>
      <c r="M91" s="56">
        <f>IF(K91=0,"н/д",L91/K91)</f>
        <v/>
      </c>
      <c r="N91" s="52" t="inlineStr">
        <is>
          <t>26.08.2026</t>
        </is>
      </c>
      <c r="O91" s="57" t="n">
        <v>0.6</v>
      </c>
      <c r="P91" s="57" t="n">
        <v>0</v>
      </c>
      <c r="Q91" s="57" t="n">
        <v>0</v>
      </c>
      <c r="R91" s="52" t="n">
        <v>100</v>
      </c>
      <c r="S91" s="52" t="inlineStr">
        <is>
          <t>—</t>
        </is>
      </c>
      <c r="T91" s="58">
        <f>0.2*'Бали кандидатів'!$B$6+0.2*'Бали кандидатів'!$B$7+O91*'Бали кандидатів'!$B$9+P91*'Бали кандидатів'!$B$10+Q91*'Бали кандидатів'!$B$11</f>
        <v/>
      </c>
      <c r="U91" s="58">
        <f>0.2*'Бали кандидатів'!$C$6+0.2*'Бали кандидатів'!$C$7+O91*'Бали кандидатів'!$C$9+P91*'Бали кандидатів'!$C$10+Q91*'Бали кандидатів'!$C$11</f>
        <v/>
      </c>
      <c r="V91" s="59">
        <f>IF('Бали кандидатів'!$B$14&gt;=300,"OK","НЕ ДОПУЩЕНО")</f>
        <v/>
      </c>
      <c r="W91" s="59">
        <f>IF('Бали кандидатів'!$C$14&gt;=300,"OK","НЕ ДОПУЩЕНО")</f>
        <v/>
      </c>
      <c r="X91" s="52">
        <f>IF(AND(OR(R91="—",'Бали кандидатів'!$B$9&gt;=R91),OR(S91="—",'Бали кандидатів'!$B$10&gt;=S91)),"проходить","НИЖЧЕ мін. балу")</f>
        <v/>
      </c>
      <c r="Y91" s="55">
        <f>IF(AND(OR(R91="—",'Бали кандидатів'!$C$9&gt;=R91),OR(S91="—",'Бали кандидатів'!$C$10&gt;=S91)),"проходить","НИЖЧЕ мін. балу")</f>
        <v/>
      </c>
      <c r="Z91" s="55" t="inlineStr">
        <is>
          <t>Тільки іспит зі спеціальності</t>
        </is>
      </c>
      <c r="AA91" s="60" t="n"/>
      <c r="AB91" s="60" t="n"/>
      <c r="AC91" s="52" t="n"/>
      <c r="AD91" s="60" t="n"/>
      <c r="AE91" s="52" t="inlineStr">
        <is>
          <t>https://vstup.osvita.ua/r27/41/entrance.html</t>
        </is>
      </c>
      <c r="AF91" s="60" t="inlineStr">
        <is>
          <t>https://vstup.osvita.ua/y2026/r27/41/1649184/</t>
        </is>
      </c>
      <c r="AG91" s="60" t="n"/>
      <c r="AH91" s="60" t="n"/>
      <c r="AI91" s="52" t="n"/>
      <c r="AJ91" s="37" t="inlineStr"/>
      <c r="AK91" s="37" t="inlineStr"/>
      <c r="AL91" s="37" t="inlineStr"/>
      <c r="AM91" s="37">
        <f>IF(AJ91="","дані ще не вивантажені",IF('Бали кандидатів'!$B$7&gt;=AJ91,"проходить","НЕ проходить за ЄВВ"))</f>
        <v/>
      </c>
      <c r="AN91" s="37">
        <f>IF(AJ91="","дані ще не вивантажені",IF('Бали кандидатів'!$C$7&gt;=AJ91,"проходить","НЕ проходить за ЄВВ"))</f>
        <v/>
      </c>
    </row>
    <row r="92" ht="15" customHeight="1" s="38">
      <c r="A92" s="51" t="inlineStr">
        <is>
          <t>F3 Комп'ютерні науки</t>
        </is>
      </c>
      <c r="B92" s="52" t="inlineStr">
        <is>
          <t>Центральноукраїнський національний технічний університет</t>
        </is>
      </c>
      <c r="C92" s="52" t="inlineStr">
        <is>
          <t>Кропивницький</t>
        </is>
      </c>
      <c r="D92" s="53" t="inlineStr">
        <is>
          <t>Кіровоградська</t>
        </is>
      </c>
      <c r="E92" s="54" t="inlineStr">
        <is>
          <t>ТАК</t>
        </is>
      </c>
      <c r="F92" s="53" t="inlineStr">
        <is>
          <t>Фіксована</t>
        </is>
      </c>
      <c r="G92" s="55" t="inlineStr">
        <is>
          <t>ні</t>
        </is>
      </c>
      <c r="H92" s="52" t="n"/>
      <c r="I92" s="52" t="inlineStr">
        <is>
          <t>Комп'ютерні науки</t>
        </is>
      </c>
      <c r="J92" s="52" t="n"/>
      <c r="K92" s="52" t="n">
        <v>4</v>
      </c>
      <c r="L92" s="52" t="n">
        <v>20</v>
      </c>
      <c r="M92" s="56">
        <f>IF(K92=0,"н/д",L92/K92)</f>
        <v/>
      </c>
      <c r="N92" s="52" t="inlineStr">
        <is>
          <t>26.08.2026</t>
        </is>
      </c>
      <c r="O92" s="57" t="n">
        <v>0.6</v>
      </c>
      <c r="P92" s="57" t="n">
        <v>0</v>
      </c>
      <c r="Q92" s="57" t="n">
        <v>0</v>
      </c>
      <c r="R92" s="52" t="inlineStr">
        <is>
          <t>—</t>
        </is>
      </c>
      <c r="S92" s="52" t="inlineStr">
        <is>
          <t>—</t>
        </is>
      </c>
      <c r="T92" s="58">
        <f>0.2*'Бали кандидатів'!$B$6+0.2*'Бали кандидатів'!$B$7+O92*'Бали кандидатів'!$B$9+P92*'Бали кандидатів'!$B$10+Q92*'Бали кандидатів'!$B$11</f>
        <v/>
      </c>
      <c r="U92" s="58">
        <f>0.2*'Бали кандидатів'!$C$6+0.2*'Бали кандидатів'!$C$7+O92*'Бали кандидатів'!$C$9+P92*'Бали кандидатів'!$C$10+Q92*'Бали кандидатів'!$C$11</f>
        <v/>
      </c>
      <c r="V92" s="59">
        <f>IF('Бали кандидатів'!$B$14&gt;=300,"OK","НЕ ДОПУЩЕНО")</f>
        <v/>
      </c>
      <c r="W92" s="59">
        <f>IF('Бали кандидатів'!$C$14&gt;=300,"OK","НЕ ДОПУЩЕНО")</f>
        <v/>
      </c>
      <c r="X92" s="52">
        <f>IF(AND(OR(R92="—",'Бали кандидатів'!$B$9&gt;=R92),OR(S92="—",'Бали кандидатів'!$B$10&gt;=S92)),"проходить","НИЖЧЕ мін. балу")</f>
        <v/>
      </c>
      <c r="Y92" s="55">
        <f>IF(AND(OR(R92="—",'Бали кандидатів'!$C$9&gt;=R92),OR(S92="—",'Бали кандидатів'!$C$10&gt;=S92)),"проходить","НИЖЧЕ мін. балу")</f>
        <v/>
      </c>
      <c r="Z92" s="55" t="inlineStr">
        <is>
          <t>Тільки іспит зі спеціальності</t>
        </is>
      </c>
      <c r="AA92" s="60" t="inlineStr">
        <is>
          <t>Презентація передбачена, але з вагою 0 — на бал не впливає</t>
        </is>
      </c>
      <c r="AB92" s="60" t="n"/>
      <c r="AC92" s="52" t="n"/>
      <c r="AD92" s="60" t="n"/>
      <c r="AE92" s="52" t="inlineStr">
        <is>
          <t>https://vstup.osvita.ua/r12/90/entrance.html</t>
        </is>
      </c>
      <c r="AF92" s="60" t="inlineStr">
        <is>
          <t>https://vstup.osvita.ua/y2026/r12/90/1653154/</t>
        </is>
      </c>
      <c r="AG92" s="60" t="n"/>
      <c r="AH92" s="60" t="n"/>
      <c r="AI92" s="52" t="n"/>
      <c r="AJ92" s="37" t="inlineStr"/>
      <c r="AK92" s="37" t="inlineStr"/>
      <c r="AL92" s="37" t="inlineStr"/>
      <c r="AM92" s="37">
        <f>IF(AJ92="","дані ще не вивантажені",IF('Бали кандидатів'!$B$7&gt;=AJ92,"проходить","НЕ проходить за ЄВВ"))</f>
        <v/>
      </c>
      <c r="AN92" s="37">
        <f>IF(AJ92="","дані ще не вивантажені",IF('Бали кандидатів'!$C$7&gt;=AJ92,"проходить","НЕ проходить за ЄВВ"))</f>
        <v/>
      </c>
    </row>
    <row r="93" ht="15" customHeight="1" s="38">
      <c r="A93" s="51" t="inlineStr">
        <is>
          <t>F3 Комп'ютерні науки</t>
        </is>
      </c>
      <c r="B93" s="52" t="inlineStr">
        <is>
          <t>Вінницький національний технічний університет</t>
        </is>
      </c>
      <c r="C93" s="52" t="inlineStr">
        <is>
          <t>Вінниця</t>
        </is>
      </c>
      <c r="D93" s="53" t="inlineStr">
        <is>
          <t>Вінницька</t>
        </is>
      </c>
      <c r="E93" s="54" t="inlineStr">
        <is>
          <t>ТАК</t>
        </is>
      </c>
      <c r="F93" s="53" t="inlineStr">
        <is>
          <t>Фіксована</t>
        </is>
      </c>
      <c r="G93" s="55" t="inlineStr">
        <is>
          <t>ні</t>
        </is>
      </c>
      <c r="H93" s="52" t="n"/>
      <c r="I93" s="52" t="inlineStr">
        <is>
          <t>Комп'ютерні науки</t>
        </is>
      </c>
      <c r="J93" s="52" t="inlineStr">
        <is>
          <t>Інститут докторантури та аспірантури</t>
        </is>
      </c>
      <c r="K93" s="52" t="n">
        <v>5</v>
      </c>
      <c r="L93" s="52" t="n">
        <v>26</v>
      </c>
      <c r="M93" s="56">
        <f>IF(K93=0,"н/д",L93/K93)</f>
        <v/>
      </c>
      <c r="N93" s="52" t="inlineStr">
        <is>
          <t>26.08.2026</t>
        </is>
      </c>
      <c r="O93" s="57" t="n">
        <v>0.6</v>
      </c>
      <c r="P93" s="57" t="n">
        <v>0</v>
      </c>
      <c r="Q93" s="57" t="n">
        <v>0</v>
      </c>
      <c r="R93" s="52" t="n">
        <v>140</v>
      </c>
      <c r="S93" s="52" t="inlineStr">
        <is>
          <t>—</t>
        </is>
      </c>
      <c r="T93" s="58">
        <f>0.2*'Бали кандидатів'!$B$6+0.2*'Бали кандидатів'!$B$7+O93*'Бали кандидатів'!$B$9+P93*'Бали кандидатів'!$B$10+Q93*'Бали кандидатів'!$B$11</f>
        <v/>
      </c>
      <c r="U93" s="58">
        <f>0.2*'Бали кандидатів'!$C$6+0.2*'Бали кандидатів'!$C$7+O93*'Бали кандидатів'!$C$9+P93*'Бали кандидатів'!$C$10+Q93*'Бали кандидатів'!$C$11</f>
        <v/>
      </c>
      <c r="V93" s="59">
        <f>IF('Бали кандидатів'!$B$14&gt;=300,"OK","НЕ ДОПУЩЕНО")</f>
        <v/>
      </c>
      <c r="W93" s="59">
        <f>IF('Бали кандидатів'!$C$14&gt;=300,"OK","НЕ ДОПУЩЕНО")</f>
        <v/>
      </c>
      <c r="X93" s="52">
        <f>IF(AND(OR(R93="—",'Бали кандидатів'!$B$9&gt;=R93),OR(S93="—",'Бали кандидатів'!$B$10&gt;=S93)),"проходить","НИЖЧЕ мін. балу")</f>
        <v/>
      </c>
      <c r="Y93" s="55">
        <f>IF(AND(OR(R93="—",'Бали кандидатів'!$C$9&gt;=R93),OR(S93="—",'Бали кандидатів'!$C$10&gt;=S93)),"проходить","НИЖЧЕ мін. балу")</f>
        <v/>
      </c>
      <c r="Z93" s="55" t="inlineStr">
        <is>
          <t>Тільки іспит зі спеціальності</t>
        </is>
      </c>
      <c r="AA93" s="60" t="n"/>
      <c r="AB93" s="60" t="n"/>
      <c r="AC93" s="52" t="n"/>
      <c r="AD93" s="60" t="n"/>
      <c r="AE93" s="52" t="inlineStr">
        <is>
          <t>https://vstup.osvita.ua/r3/137/entrance.html</t>
        </is>
      </c>
      <c r="AF93" s="60" t="inlineStr">
        <is>
          <t>https://vstup.osvita.ua/y2026/r3/137/1642725/</t>
        </is>
      </c>
      <c r="AG93" s="60" t="n"/>
      <c r="AH93" s="60" t="n"/>
      <c r="AI93" s="52" t="n"/>
      <c r="AJ93" s="37" t="inlineStr"/>
      <c r="AK93" s="37" t="inlineStr"/>
      <c r="AL93" s="37" t="inlineStr"/>
      <c r="AM93" s="37">
        <f>IF(AJ93="","дані ще не вивантажені",IF('Бали кандидатів'!$B$7&gt;=AJ93,"проходить","НЕ проходить за ЄВВ"))</f>
        <v/>
      </c>
      <c r="AN93" s="37">
        <f>IF(AJ93="","дані ще не вивантажені",IF('Бали кандидатів'!$C$7&gt;=AJ93,"проходить","НЕ проходить за ЄВВ"))</f>
        <v/>
      </c>
    </row>
    <row r="94" ht="15" customHeight="1" s="38">
      <c r="A94" s="51" t="inlineStr">
        <is>
          <t>F2 Інженерія ПЗ</t>
        </is>
      </c>
      <c r="B94" s="52" t="inlineStr">
        <is>
          <t>Чернівецький національний університет ім. Ю. Федьковича</t>
        </is>
      </c>
      <c r="C94" s="52" t="inlineStr">
        <is>
          <t>Чернівці</t>
        </is>
      </c>
      <c r="D94" s="53" t="inlineStr">
        <is>
          <t>Чернівецька</t>
        </is>
      </c>
      <c r="E94" s="54" t="inlineStr">
        <is>
          <t>ТАК</t>
        </is>
      </c>
      <c r="F94" s="53" t="inlineStr">
        <is>
          <t>Фіксована</t>
        </is>
      </c>
      <c r="G94" s="55" t="inlineStr">
        <is>
          <t>ні</t>
        </is>
      </c>
      <c r="H94" s="52" t="n"/>
      <c r="I94" s="52" t="inlineStr">
        <is>
          <t>Інженерія програмного забезпечення</t>
        </is>
      </c>
      <c r="J94" s="52" t="inlineStr">
        <is>
          <t>ННІ фізико-технічних та комп'ютерних наук</t>
        </is>
      </c>
      <c r="K94" s="52" t="n">
        <v>8</v>
      </c>
      <c r="L94" s="52" t="n">
        <v>42</v>
      </c>
      <c r="M94" s="56">
        <f>IF(K94=0,"н/д",L94/K94)</f>
        <v/>
      </c>
      <c r="N94" s="52" t="inlineStr">
        <is>
          <t>26.08.2026</t>
        </is>
      </c>
      <c r="O94" s="57" t="n">
        <v>0.6</v>
      </c>
      <c r="P94" s="57" t="n">
        <v>0</v>
      </c>
      <c r="Q94" s="57" t="n">
        <v>0</v>
      </c>
      <c r="R94" s="52" t="n">
        <v>100</v>
      </c>
      <c r="S94" s="52" t="inlineStr">
        <is>
          <t>—</t>
        </is>
      </c>
      <c r="T94" s="58">
        <f>0.2*'Бали кандидатів'!$B$6+0.2*'Бали кандидатів'!$B$7+O94*'Бали кандидатів'!$B$9+P94*'Бали кандидатів'!$B$10+Q94*'Бали кандидатів'!$B$11</f>
        <v/>
      </c>
      <c r="U94" s="58">
        <f>0.2*'Бали кандидатів'!$C$6+0.2*'Бали кандидатів'!$C$7+O94*'Бали кандидатів'!$C$9+P94*'Бали кандидатів'!$C$10+Q94*'Бали кандидатів'!$C$11</f>
        <v/>
      </c>
      <c r="V94" s="59">
        <f>IF('Бали кандидатів'!$B$14&gt;=300,"OK","НЕ ДОПУЩЕНО")</f>
        <v/>
      </c>
      <c r="W94" s="59">
        <f>IF('Бали кандидатів'!$C$14&gt;=300,"OK","НЕ ДОПУЩЕНО")</f>
        <v/>
      </c>
      <c r="X94" s="52">
        <f>IF(AND(OR(R94="—",'Бали кандидатів'!$B$9&gt;=R94),OR(S94="—",'Бали кандидатів'!$B$10&gt;=S94)),"проходить","НИЖЧЕ мін. балу")</f>
        <v/>
      </c>
      <c r="Y94" s="55">
        <f>IF(AND(OR(R94="—",'Бали кандидатів'!$C$9&gt;=R94),OR(S94="—",'Бали кандидатів'!$C$10&gt;=S94)),"проходить","НИЖЧЕ мін. балу")</f>
        <v/>
      </c>
      <c r="Z94" s="55" t="inlineStr">
        <is>
          <t>Тільки іспит зі спеціальності</t>
        </is>
      </c>
      <c r="AA94" s="60" t="n"/>
      <c r="AB94" s="60" t="n"/>
      <c r="AC94" s="52" t="n"/>
      <c r="AD94" s="60" t="n"/>
      <c r="AE94" s="52" t="inlineStr">
        <is>
          <t>https://vstup.osvita.ua/r25/61/entrance.html</t>
        </is>
      </c>
      <c r="AF94" s="60" t="inlineStr">
        <is>
          <t>https://vstup.osvita.ua/y2026/r25/61/1647315/</t>
        </is>
      </c>
      <c r="AG94" s="60" t="n"/>
      <c r="AH94" s="60" t="n"/>
      <c r="AI94" s="52" t="n"/>
      <c r="AJ94" s="37" t="inlineStr"/>
      <c r="AK94" s="37" t="inlineStr"/>
      <c r="AL94" s="37" t="inlineStr"/>
      <c r="AM94" s="37">
        <f>IF(AJ94="","дані ще не вивантажені",IF('Бали кандидатів'!$B$7&gt;=AJ94,"проходить","НЕ проходить за ЄВВ"))</f>
        <v/>
      </c>
      <c r="AN94" s="37">
        <f>IF(AJ94="","дані ще не вивантажені",IF('Бали кандидатів'!$C$7&gt;=AJ94,"проходить","НЕ проходить за ЄВВ"))</f>
        <v/>
      </c>
    </row>
    <row r="95" ht="15" customHeight="1" s="38">
      <c r="A95" s="51" t="inlineStr">
        <is>
          <t>F3 Комп'ютерні науки</t>
        </is>
      </c>
      <c r="B95" s="52" t="inlineStr">
        <is>
          <t>Чорноморський національний університет ім. П. Могили</t>
        </is>
      </c>
      <c r="C95" s="52" t="inlineStr">
        <is>
          <t>Миколаїв</t>
        </is>
      </c>
      <c r="D95" s="53" t="inlineStr">
        <is>
          <t>Миколаївська</t>
        </is>
      </c>
      <c r="E95" s="54" t="inlineStr">
        <is>
          <t>ТАК</t>
        </is>
      </c>
      <c r="F95" s="53" t="inlineStr">
        <is>
          <t>Фіксована</t>
        </is>
      </c>
      <c r="G95" s="55" t="inlineStr">
        <is>
          <t>ні</t>
        </is>
      </c>
      <c r="H95" s="52" t="n"/>
      <c r="I95" s="52" t="inlineStr">
        <is>
          <t>Комп'ютерні науки</t>
        </is>
      </c>
      <c r="J95" s="52" t="inlineStr">
        <is>
          <t>Аспірантура</t>
        </is>
      </c>
      <c r="K95" s="52" t="n">
        <v>2</v>
      </c>
      <c r="L95" s="61" t="n">
        <v>11</v>
      </c>
      <c r="M95" s="56">
        <f>IF(K95=0,"н/д",L95/K95)</f>
        <v/>
      </c>
      <c r="N95" s="62" t="inlineStr">
        <is>
          <t>25.08.2026 (застаріле)</t>
        </is>
      </c>
      <c r="O95" s="57" t="n">
        <v>0.6</v>
      </c>
      <c r="P95" s="57" t="n">
        <v>0</v>
      </c>
      <c r="Q95" s="57" t="n">
        <v>0</v>
      </c>
      <c r="R95" s="52" t="inlineStr">
        <is>
          <t>—</t>
        </is>
      </c>
      <c r="S95" s="52" t="inlineStr">
        <is>
          <t>—</t>
        </is>
      </c>
      <c r="T95" s="58">
        <f>0.2*'Бали кандидатів'!$B$6+0.2*'Бали кандидатів'!$B$7+O95*'Бали кандидатів'!$B$9+P95*'Бали кандидатів'!$B$10+Q95*'Бали кандидатів'!$B$11</f>
        <v/>
      </c>
      <c r="U95" s="58">
        <f>0.2*'Бали кандидатів'!$C$6+0.2*'Бали кандидатів'!$C$7+O95*'Бали кандидатів'!$C$9+P95*'Бали кандидатів'!$C$10+Q95*'Бали кандидатів'!$C$11</f>
        <v/>
      </c>
      <c r="V95" s="59">
        <f>IF('Бали кандидатів'!$B$14&gt;=300,"OK","НЕ ДОПУЩЕНО")</f>
        <v/>
      </c>
      <c r="W95" s="59">
        <f>IF('Бали кандидатів'!$C$14&gt;=300,"OK","НЕ ДОПУЩЕНО")</f>
        <v/>
      </c>
      <c r="X95" s="52">
        <f>IF(AND(OR(R95="—",'Бали кандидатів'!$B$9&gt;=R95),OR(S95="—",'Бали кандидатів'!$B$10&gt;=S95)),"проходить","НИЖЧЕ мін. балу")</f>
        <v/>
      </c>
      <c r="Y95" s="55">
        <f>IF(AND(OR(R95="—",'Бали кандидатів'!$C$9&gt;=R95),OR(S95="—",'Бали кандидатів'!$C$10&gt;=S95)),"проходить","НИЖЧЕ мін. балу")</f>
        <v/>
      </c>
      <c r="Z95" s="55" t="inlineStr">
        <is>
          <t>Тільки іспит зі спеціальності</t>
        </is>
      </c>
      <c r="AA95" s="60" t="n"/>
      <c r="AB95" s="60" t="n"/>
      <c r="AC95" s="52" t="n"/>
      <c r="AD95" s="60" t="n"/>
      <c r="AE95" s="52" t="inlineStr">
        <is>
          <t>https://vstup.osvita.ua/r15/265/entrance.html</t>
        </is>
      </c>
      <c r="AF95" s="60" t="inlineStr">
        <is>
          <t>https://vstup.osvita.ua/y2026/r15/265/1649164/</t>
        </is>
      </c>
      <c r="AG95" s="60" t="n"/>
      <c r="AH95" s="60" t="n"/>
      <c r="AI95" s="52" t="n"/>
      <c r="AJ95" s="37" t="inlineStr"/>
      <c r="AK95" s="37" t="inlineStr"/>
      <c r="AL95" s="37" t="inlineStr"/>
      <c r="AM95" s="37">
        <f>IF(AJ95="","дані ще не вивантажені",IF('Бали кандидатів'!$B$7&gt;=AJ95,"проходить","НЕ проходить за ЄВВ"))</f>
        <v/>
      </c>
      <c r="AN95" s="37">
        <f>IF(AJ95="","дані ще не вивантажені",IF('Бали кандидатів'!$C$7&gt;=AJ95,"проходить","НЕ проходить за ЄВВ"))</f>
        <v/>
      </c>
    </row>
    <row r="96" ht="15" customHeight="1" s="38">
      <c r="A96" s="51" t="inlineStr">
        <is>
          <t>F3 Комп'ютерні науки</t>
        </is>
      </c>
      <c r="B96" s="52" t="inlineStr">
        <is>
          <t>Національний університет біоресурсів і природокористування</t>
        </is>
      </c>
      <c r="C96" s="52" t="inlineStr">
        <is>
          <t>Київ</t>
        </is>
      </c>
      <c r="D96" s="53" t="inlineStr">
        <is>
          <t>Київ</t>
        </is>
      </c>
      <c r="E96" s="54" t="inlineStr">
        <is>
          <t>ТАК</t>
        </is>
      </c>
      <c r="F96" s="53" t="inlineStr">
        <is>
          <t>Фіксована</t>
        </is>
      </c>
      <c r="G96" s="55" t="inlineStr">
        <is>
          <t>ні</t>
        </is>
      </c>
      <c r="H96" s="52" t="n"/>
      <c r="I96" s="52" t="inlineStr">
        <is>
          <t>Інформаційні технології</t>
        </is>
      </c>
      <c r="J96" s="52" t="inlineStr">
        <is>
          <t>Факультет інформаційних технологій</t>
        </is>
      </c>
      <c r="K96" s="52" t="n">
        <v>5</v>
      </c>
      <c r="L96" s="52" t="n">
        <v>28</v>
      </c>
      <c r="M96" s="56">
        <f>IF(K96=0,"н/д",L96/K96)</f>
        <v/>
      </c>
      <c r="N96" s="52" t="inlineStr">
        <is>
          <t>26.08.2026</t>
        </is>
      </c>
      <c r="O96" s="57" t="n">
        <v>0.6</v>
      </c>
      <c r="P96" s="57" t="n">
        <v>0</v>
      </c>
      <c r="Q96" s="57" t="n">
        <v>0</v>
      </c>
      <c r="R96" s="52" t="inlineStr">
        <is>
          <t>—</t>
        </is>
      </c>
      <c r="S96" s="52" t="inlineStr">
        <is>
          <t>—</t>
        </is>
      </c>
      <c r="T96" s="58">
        <f>0.2*'Бали кандидатів'!$B$6+0.2*'Бали кандидатів'!$B$7+O96*'Бали кандидатів'!$B$9+P96*'Бали кандидатів'!$B$10+Q96*'Бали кандидатів'!$B$11</f>
        <v/>
      </c>
      <c r="U96" s="58">
        <f>0.2*'Бали кандидатів'!$C$6+0.2*'Бали кандидатів'!$C$7+O96*'Бали кандидатів'!$C$9+P96*'Бали кандидатів'!$C$10+Q96*'Бали кандидатів'!$C$11</f>
        <v/>
      </c>
      <c r="V96" s="59">
        <f>IF('Бали кандидатів'!$B$14&gt;=300,"OK","НЕ ДОПУЩЕНО")</f>
        <v/>
      </c>
      <c r="W96" s="59">
        <f>IF('Бали кандидатів'!$C$14&gt;=300,"OK","НЕ ДОПУЩЕНО")</f>
        <v/>
      </c>
      <c r="X96" s="52">
        <f>IF(AND(OR(R96="—",'Бали кандидатів'!$B$9&gt;=R96),OR(S96="—",'Бали кандидатів'!$B$10&gt;=S96)),"проходить","НИЖЧЕ мін. балу")</f>
        <v/>
      </c>
      <c r="Y96" s="55">
        <f>IF(AND(OR(R96="—",'Бали кандидатів'!$C$9&gt;=R96),OR(S96="—",'Бали кандидатів'!$C$10&gt;=S96)),"проходить","НИЖЧЕ мін. балу")</f>
        <v/>
      </c>
      <c r="Z96" s="55" t="inlineStr">
        <is>
          <t>Тільки іспит зі спеціальності</t>
        </is>
      </c>
      <c r="AA96" s="60" t="n"/>
      <c r="AB96" s="60" t="n"/>
      <c r="AC96" s="52" t="n"/>
      <c r="AD96" s="60" t="n"/>
      <c r="AE96" s="52" t="inlineStr">
        <is>
          <t>https://vstup.osvita.ua/r27/7/entrance.html</t>
        </is>
      </c>
      <c r="AF96" s="60" t="inlineStr">
        <is>
          <t>https://vstup.osvita.ua/y2026/r27/7/1652535/</t>
        </is>
      </c>
      <c r="AG96" s="60" t="n"/>
      <c r="AH96" s="60" t="n"/>
      <c r="AI96" s="52" t="n"/>
      <c r="AJ96" s="37" t="inlineStr"/>
      <c r="AK96" s="37" t="inlineStr"/>
      <c r="AL96" s="37" t="inlineStr"/>
      <c r="AM96" s="37">
        <f>IF(AJ96="","дані ще не вивантажені",IF('Бали кандидатів'!$B$7&gt;=AJ96,"проходить","НЕ проходить за ЄВВ"))</f>
        <v/>
      </c>
      <c r="AN96" s="37">
        <f>IF(AJ96="","дані ще не вивантажені",IF('Бали кандидатів'!$C$7&gt;=AJ96,"проходить","НЕ проходить за ЄВВ"))</f>
        <v/>
      </c>
    </row>
    <row r="97" ht="26.85" customHeight="1" s="38">
      <c r="A97" s="51" t="inlineStr">
        <is>
          <t>F3 Комп'ютерні науки</t>
        </is>
      </c>
      <c r="B97" s="52" t="inlineStr">
        <is>
          <t>НУ «Київський авіаційний інститут»</t>
        </is>
      </c>
      <c r="C97" s="52" t="inlineStr">
        <is>
          <t>Київ</t>
        </is>
      </c>
      <c r="D97" s="53" t="inlineStr">
        <is>
          <t>Київ</t>
        </is>
      </c>
      <c r="E97" s="54" t="inlineStr">
        <is>
          <t>ТАК</t>
        </is>
      </c>
      <c r="F97" s="53" t="inlineStr">
        <is>
          <t>Фіксована</t>
        </is>
      </c>
      <c r="G97" s="55" t="inlineStr">
        <is>
          <t>ні</t>
        </is>
      </c>
      <c r="H97" s="52" t="n"/>
      <c r="I97" s="52" t="inlineStr">
        <is>
          <t>Комп'ютерні науки</t>
        </is>
      </c>
      <c r="J97" s="52" t="inlineStr">
        <is>
          <t>Комп'ютерних наук та технологій</t>
        </is>
      </c>
      <c r="K97" s="52" t="n">
        <v>3</v>
      </c>
      <c r="L97" s="52" t="n">
        <v>17</v>
      </c>
      <c r="M97" s="56">
        <f>IF(K97=0,"н/д",L97/K97)</f>
        <v/>
      </c>
      <c r="N97" s="52" t="inlineStr">
        <is>
          <t>26.08.2026</t>
        </is>
      </c>
      <c r="O97" s="57" t="n">
        <v>0.2</v>
      </c>
      <c r="P97" s="57" t="n">
        <v>0.4</v>
      </c>
      <c r="Q97" s="57" t="n">
        <v>0</v>
      </c>
      <c r="R97" s="52" t="n">
        <v>100</v>
      </c>
      <c r="S97" s="52" t="n">
        <v>100</v>
      </c>
      <c r="T97" s="58">
        <f>0.2*'Бали кандидатів'!$B$6+0.2*'Бали кандидатів'!$B$7+O97*'Бали кандидатів'!$B$9+P97*'Бали кандидатів'!$B$10+Q97*'Бали кандидатів'!$B$11</f>
        <v/>
      </c>
      <c r="U97" s="58">
        <f>0.2*'Бали кандидатів'!$C$6+0.2*'Бали кандидатів'!$C$7+O97*'Бали кандидатів'!$C$9+P97*'Бали кандидатів'!$C$10+Q97*'Бали кандидатів'!$C$11</f>
        <v/>
      </c>
      <c r="V97" s="59">
        <f>IF('Бали кандидатів'!$B$14&gt;=300,"OK","НЕ ДОПУЩЕНО")</f>
        <v/>
      </c>
      <c r="W97" s="59">
        <f>IF('Бали кандидатів'!$C$14&gt;=300,"OK","НЕ ДОПУЩЕНО")</f>
        <v/>
      </c>
      <c r="X97" s="52">
        <f>IF(AND(OR(R97="—",'Бали кандидатів'!$B$9&gt;=R97),OR(S97="—",'Бали кандидатів'!$B$10&gt;=S97)),"проходить","НИЖЧЕ мін. балу")</f>
        <v/>
      </c>
      <c r="Y97" s="55">
        <f>IF(AND(OR(R97="—",'Бали кандидатів'!$C$9&gt;=R97),OR(S97="—",'Бали кандидатів'!$C$10&gt;=S97)),"проходить","НИЖЧЕ мін. балу")</f>
        <v/>
      </c>
      <c r="Z97" s="55" t="inlineStr">
        <is>
          <t>Дослідницька пропозиція важить більше або нарівні з іспитом</t>
        </is>
      </c>
      <c r="AA97" s="60" t="n"/>
      <c r="AB97" s="60" t="n"/>
      <c r="AC97" s="52" t="n"/>
      <c r="AD97" s="60" t="n"/>
      <c r="AE97" s="52" t="inlineStr">
        <is>
          <t>https://vstup.osvita.ua/r27/7208/entrance.html</t>
        </is>
      </c>
      <c r="AF97" s="60" t="inlineStr">
        <is>
          <t>https://vstup.osvita.ua/y2026/r27/7208/1652697/</t>
        </is>
      </c>
      <c r="AG97" s="60" t="n"/>
      <c r="AH97" s="60" t="n"/>
      <c r="AI97" s="52" t="n"/>
      <c r="AJ97" s="37" t="inlineStr"/>
      <c r="AK97" s="37" t="inlineStr"/>
      <c r="AL97" s="37" t="inlineStr"/>
      <c r="AM97" s="37">
        <f>IF(AJ97="","дані ще не вивантажені",IF('Бали кандидатів'!$B$7&gt;=AJ97,"проходить","НЕ проходить за ЄВВ"))</f>
        <v/>
      </c>
      <c r="AN97" s="37">
        <f>IF(AJ97="","дані ще не вивантажені",IF('Бали кандидатів'!$C$7&gt;=AJ97,"проходить","НЕ проходить за ЄВВ"))</f>
        <v/>
      </c>
    </row>
    <row r="98" ht="15" customHeight="1" s="38">
      <c r="A98" s="51" t="inlineStr">
        <is>
          <t>F2 Інженерія ПЗ</t>
        </is>
      </c>
      <c r="B98" s="52" t="inlineStr">
        <is>
          <t>Вінницький національний технічний університет</t>
        </is>
      </c>
      <c r="C98" s="52" t="inlineStr">
        <is>
          <t>Вінниця</t>
        </is>
      </c>
      <c r="D98" s="53" t="inlineStr">
        <is>
          <t>Вінницька</t>
        </is>
      </c>
      <c r="E98" s="54" t="inlineStr">
        <is>
          <t>ТАК</t>
        </is>
      </c>
      <c r="F98" s="53" t="inlineStr">
        <is>
          <t>Фіксована</t>
        </is>
      </c>
      <c r="G98" s="55" t="inlineStr">
        <is>
          <t>ні</t>
        </is>
      </c>
      <c r="H98" s="52" t="n"/>
      <c r="I98" s="52" t="inlineStr">
        <is>
          <t>Інженерія програмного забезпечення</t>
        </is>
      </c>
      <c r="J98" s="52" t="inlineStr">
        <is>
          <t>Інститут докторантури та аспірантури</t>
        </is>
      </c>
      <c r="K98" s="52" t="n">
        <v>3</v>
      </c>
      <c r="L98" s="52" t="n">
        <v>17</v>
      </c>
      <c r="M98" s="56">
        <f>IF(K98=0,"н/д",L98/K98)</f>
        <v/>
      </c>
      <c r="N98" s="52" t="inlineStr">
        <is>
          <t>26.08.2026</t>
        </is>
      </c>
      <c r="O98" s="57" t="n">
        <v>0.6</v>
      </c>
      <c r="P98" s="57" t="n">
        <v>0</v>
      </c>
      <c r="Q98" s="57" t="n">
        <v>0</v>
      </c>
      <c r="R98" s="52" t="n">
        <v>140</v>
      </c>
      <c r="S98" s="52" t="inlineStr">
        <is>
          <t>—</t>
        </is>
      </c>
      <c r="T98" s="58">
        <f>0.2*'Бали кандидатів'!$B$6+0.2*'Бали кандидатів'!$B$7+O98*'Бали кандидатів'!$B$9+P98*'Бали кандидатів'!$B$10+Q98*'Бали кандидатів'!$B$11</f>
        <v/>
      </c>
      <c r="U98" s="58">
        <f>0.2*'Бали кандидатів'!$C$6+0.2*'Бали кандидатів'!$C$7+O98*'Бали кандидатів'!$C$9+P98*'Бали кандидатів'!$C$10+Q98*'Бали кандидатів'!$C$11</f>
        <v/>
      </c>
      <c r="V98" s="59">
        <f>IF('Бали кандидатів'!$B$14&gt;=300,"OK","НЕ ДОПУЩЕНО")</f>
        <v/>
      </c>
      <c r="W98" s="59">
        <f>IF('Бали кандидатів'!$C$14&gt;=300,"OK","НЕ ДОПУЩЕНО")</f>
        <v/>
      </c>
      <c r="X98" s="52">
        <f>IF(AND(OR(R98="—",'Бали кандидатів'!$B$9&gt;=R98),OR(S98="—",'Бали кандидатів'!$B$10&gt;=S98)),"проходить","НИЖЧЕ мін. балу")</f>
        <v/>
      </c>
      <c r="Y98" s="55">
        <f>IF(AND(OR(R98="—",'Бали кандидатів'!$C$9&gt;=R98),OR(S98="—",'Бали кандидатів'!$C$10&gt;=S98)),"проходить","НИЖЧЕ мін. балу")</f>
        <v/>
      </c>
      <c r="Z98" s="55" t="inlineStr">
        <is>
          <t>Тільки іспит зі спеціальності</t>
        </is>
      </c>
      <c r="AA98" s="60" t="n"/>
      <c r="AB98" s="60" t="n"/>
      <c r="AC98" s="52" t="n"/>
      <c r="AD98" s="60" t="n"/>
      <c r="AE98" s="52" t="inlineStr">
        <is>
          <t>https://vstup.osvita.ua/r3/137/entrance.html</t>
        </is>
      </c>
      <c r="AF98" s="60" t="inlineStr">
        <is>
          <t>https://vstup.osvita.ua/y2026/r3/137/1642724/</t>
        </is>
      </c>
      <c r="AG98" s="60" t="n"/>
      <c r="AH98" s="60" t="n"/>
      <c r="AI98" s="52" t="n"/>
      <c r="AJ98" s="37" t="inlineStr"/>
      <c r="AK98" s="37" t="inlineStr"/>
      <c r="AL98" s="37" t="inlineStr"/>
      <c r="AM98" s="37">
        <f>IF(AJ98="","дані ще не вивантажені",IF('Бали кандидатів'!$B$7&gt;=AJ98,"проходить","НЕ проходить за ЄВВ"))</f>
        <v/>
      </c>
      <c r="AN98" s="37">
        <f>IF(AJ98="","дані ще не вивантажені",IF('Бали кандидатів'!$C$7&gt;=AJ98,"проходить","НЕ проходить за ЄВВ"))</f>
        <v/>
      </c>
    </row>
    <row r="99" ht="15" customHeight="1" s="38">
      <c r="A99" s="51" t="inlineStr">
        <is>
          <t>F3 Комп'ютерні науки</t>
        </is>
      </c>
      <c r="B99" s="52" t="inlineStr">
        <is>
          <t>Хмельницький національний університет</t>
        </is>
      </c>
      <c r="C99" s="52" t="inlineStr">
        <is>
          <t>Хмельницький</t>
        </is>
      </c>
      <c r="D99" s="53" t="inlineStr">
        <is>
          <t>Хмельницька</t>
        </is>
      </c>
      <c r="E99" s="54" t="inlineStr">
        <is>
          <t>ТАК</t>
        </is>
      </c>
      <c r="F99" s="53" t="inlineStr">
        <is>
          <t>Фіксована</t>
        </is>
      </c>
      <c r="G99" s="55" t="inlineStr">
        <is>
          <t>ні</t>
        </is>
      </c>
      <c r="H99" s="52" t="n"/>
      <c r="I99" s="52" t="inlineStr">
        <is>
          <t>Комп'ютерні науки</t>
        </is>
      </c>
      <c r="J99" s="52" t="inlineStr">
        <is>
          <t>Відділ аспірантури та докторантури</t>
        </is>
      </c>
      <c r="K99" s="52" t="n">
        <v>3</v>
      </c>
      <c r="L99" s="61" t="n">
        <v>18</v>
      </c>
      <c r="M99" s="56">
        <f>IF(K99=0,"н/д",L99/K99)</f>
        <v/>
      </c>
      <c r="N99" s="62" t="inlineStr">
        <is>
          <t>25.08.2026 (застаріле)</t>
        </is>
      </c>
      <c r="O99" s="57" t="n">
        <v>0.4</v>
      </c>
      <c r="P99" s="57" t="n">
        <v>0.2</v>
      </c>
      <c r="Q99" s="57" t="n">
        <v>0</v>
      </c>
      <c r="R99" s="52" t="n">
        <v>100</v>
      </c>
      <c r="S99" s="52" t="n">
        <v>100</v>
      </c>
      <c r="T99" s="58">
        <f>0.2*'Бали кандидатів'!$B$6+0.2*'Бали кандидатів'!$B$7+O99*'Бали кандидатів'!$B$9+P99*'Бали кандидатів'!$B$10+Q99*'Бали кандидатів'!$B$11</f>
        <v/>
      </c>
      <c r="U99" s="58">
        <f>0.2*'Бали кандидатів'!$C$6+0.2*'Бали кандидатів'!$C$7+O99*'Бали кандидатів'!$C$9+P99*'Бали кандидатів'!$C$10+Q99*'Бали кандидатів'!$C$11</f>
        <v/>
      </c>
      <c r="V99" s="59">
        <f>IF('Бали кандидатів'!$B$14&gt;=300,"OK","НЕ ДОПУЩЕНО")</f>
        <v/>
      </c>
      <c r="W99" s="59">
        <f>IF('Бали кандидатів'!$C$14&gt;=300,"OK","НЕ ДОПУЩЕНО")</f>
        <v/>
      </c>
      <c r="X99" s="52">
        <f>IF(AND(OR(R99="—",'Бали кандидатів'!$B$9&gt;=R99),OR(S99="—",'Бали кандидатів'!$B$10&gt;=S99)),"проходить","НИЖЧЕ мін. балу")</f>
        <v/>
      </c>
      <c r="Y99" s="55">
        <f>IF(AND(OR(R99="—",'Бали кандидатів'!$C$9&gt;=R99),OR(S99="—",'Бали кандидатів'!$C$10&gt;=S99)),"проходить","НИЖЧЕ мін. балу")</f>
        <v/>
      </c>
      <c r="Z99" s="55" t="inlineStr">
        <is>
          <t>Іспит + дослідницька пропозиція</t>
        </is>
      </c>
      <c r="AA99" s="60" t="n"/>
      <c r="AB99" s="60" t="n"/>
      <c r="AC99" s="52" t="n"/>
      <c r="AD99" s="60" t="n"/>
      <c r="AE99" s="52" t="inlineStr">
        <is>
          <t>https://vstup.osvita.ua/r23/138/entrance.html</t>
        </is>
      </c>
      <c r="AF99" s="60" t="inlineStr">
        <is>
          <t>https://vstup.osvita.ua/y2026/r23/138/1650371/</t>
        </is>
      </c>
      <c r="AG99" s="60" t="n"/>
      <c r="AH99" s="60" t="n"/>
      <c r="AI99" s="52" t="n"/>
      <c r="AJ99" s="37" t="inlineStr"/>
      <c r="AK99" s="37" t="inlineStr"/>
      <c r="AL99" s="37" t="inlineStr"/>
      <c r="AM99" s="37">
        <f>IF(AJ99="","дані ще не вивантажені",IF('Бали кандидатів'!$B$7&gt;=AJ99,"проходить","НЕ проходить за ЄВВ"))</f>
        <v/>
      </c>
      <c r="AN99" s="37">
        <f>IF(AJ99="","дані ще не вивантажені",IF('Бали кандидатів'!$C$7&gt;=AJ99,"проходить","НЕ проходить за ЄВВ"))</f>
        <v/>
      </c>
    </row>
    <row r="100" ht="15" customHeight="1" s="38">
      <c r="A100" s="51" t="inlineStr">
        <is>
          <t>F3 Комп'ютерні науки</t>
        </is>
      </c>
      <c r="B100" s="52" t="inlineStr">
        <is>
          <t>Київська школа економіки (KSE)</t>
        </is>
      </c>
      <c r="C100" s="52" t="inlineStr">
        <is>
          <t>Київ</t>
        </is>
      </c>
      <c r="D100" s="53" t="inlineStr">
        <is>
          <t>Київ</t>
        </is>
      </c>
      <c r="E100" s="54" t="inlineStr">
        <is>
          <t>ТАК</t>
        </is>
      </c>
      <c r="F100" s="53" t="inlineStr">
        <is>
          <t>Фіксована</t>
        </is>
      </c>
      <c r="G100" s="55" t="inlineStr">
        <is>
          <t>ні</t>
        </is>
      </c>
      <c r="H100" s="52" t="n"/>
      <c r="I100" s="52" t="inlineStr">
        <is>
          <t>Комп'ютерні науки</t>
        </is>
      </c>
      <c r="J100" s="52" t="inlineStr">
        <is>
          <t>Факультет комп'ютерних наук</t>
        </is>
      </c>
      <c r="K100" s="52" t="n">
        <v>2</v>
      </c>
      <c r="L100" s="52" t="n">
        <v>13</v>
      </c>
      <c r="M100" s="56">
        <f>IF(K100=0,"н/д",L100/K100)</f>
        <v/>
      </c>
      <c r="N100" s="52" t="inlineStr">
        <is>
          <t>26.08.2026</t>
        </is>
      </c>
      <c r="O100" s="57" t="n">
        <v>0.6</v>
      </c>
      <c r="P100" s="57" t="n">
        <v>0</v>
      </c>
      <c r="Q100" s="57" t="n">
        <v>0</v>
      </c>
      <c r="R100" s="52" t="n">
        <v>100</v>
      </c>
      <c r="S100" s="52" t="inlineStr">
        <is>
          <t>—</t>
        </is>
      </c>
      <c r="T100" s="58">
        <f>0.2*'Бали кандидатів'!$B$6+0.2*'Бали кандидатів'!$B$7+O100*'Бали кандидатів'!$B$9+P100*'Бали кандидатів'!$B$10+Q100*'Бали кандидатів'!$B$11</f>
        <v/>
      </c>
      <c r="U100" s="58">
        <f>0.2*'Бали кандидатів'!$C$6+0.2*'Бали кандидатів'!$C$7+O100*'Бали кандидатів'!$C$9+P100*'Бали кандидатів'!$C$10+Q100*'Бали кандидатів'!$C$11</f>
        <v/>
      </c>
      <c r="V100" s="59">
        <f>IF('Бали кандидатів'!$B$14&gt;=300,"OK","НЕ ДОПУЩЕНО")</f>
        <v/>
      </c>
      <c r="W100" s="59">
        <f>IF('Бали кандидатів'!$C$14&gt;=300,"OK","НЕ ДОПУЩЕНО")</f>
        <v/>
      </c>
      <c r="X100" s="52">
        <f>IF(AND(OR(R100="—",'Бали кандидатів'!$B$9&gt;=R100),OR(S100="—",'Бали кандидатів'!$B$10&gt;=S100)),"проходить","НИЖЧЕ мін. балу")</f>
        <v/>
      </c>
      <c r="Y100" s="55">
        <f>IF(AND(OR(R100="—",'Бали кандидатів'!$C$9&gt;=R100),OR(S100="—",'Бали кандидатів'!$C$10&gt;=S100)),"проходить","НИЖЧЕ мін. балу")</f>
        <v/>
      </c>
      <c r="Z100" s="55" t="inlineStr">
        <is>
          <t>Тільки іспит зі спеціальності</t>
        </is>
      </c>
      <c r="AA100" s="60" t="inlineStr">
        <is>
          <t>Підвищений мін. бал за ЄВІ-іноземну: 150</t>
        </is>
      </c>
      <c r="AB100" s="60" t="n"/>
      <c r="AC100" s="52" t="n"/>
      <c r="AD100" s="60" t="n"/>
      <c r="AE100" s="52" t="inlineStr">
        <is>
          <t>https://vstup.osvita.ua/r27/3924/entrance.html</t>
        </is>
      </c>
      <c r="AF100" s="60" t="inlineStr">
        <is>
          <t>https://vstup.osvita.ua/y2026/r27/3924/1651260/</t>
        </is>
      </c>
      <c r="AG100" s="60" t="n"/>
      <c r="AH100" s="60" t="n"/>
      <c r="AI100" s="52" t="n"/>
      <c r="AJ100" s="37" t="inlineStr"/>
      <c r="AK100" s="37" t="inlineStr"/>
      <c r="AL100" s="37" t="inlineStr"/>
      <c r="AM100" s="37">
        <f>IF(AJ100="","дані ще не вивантажені",IF('Бали кандидатів'!$B$7&gt;=AJ100,"проходить","НЕ проходить за ЄВВ"))</f>
        <v/>
      </c>
      <c r="AN100" s="37">
        <f>IF(AJ100="","дані ще не вивантажені",IF('Бали кандидатів'!$C$7&gt;=AJ100,"проходить","НЕ проходить за ЄВВ"))</f>
        <v/>
      </c>
    </row>
    <row r="101" ht="15" customHeight="1" s="38">
      <c r="A101" s="51" t="inlineStr">
        <is>
          <t>F3 Комп'ютерні науки</t>
        </is>
      </c>
      <c r="B101" s="52" t="inlineStr">
        <is>
          <t>НТУ «Дніпровська політехніка»</t>
        </is>
      </c>
      <c r="C101" s="52" t="inlineStr">
        <is>
          <t>Дніпро</t>
        </is>
      </c>
      <c r="D101" s="53" t="inlineStr">
        <is>
          <t>Дніпропетровська</t>
        </is>
      </c>
      <c r="E101" s="54" t="inlineStr">
        <is>
          <t>ТАК</t>
        </is>
      </c>
      <c r="F101" s="53" t="inlineStr">
        <is>
          <t>Фіксована</t>
        </is>
      </c>
      <c r="G101" s="55" t="inlineStr">
        <is>
          <t>ні</t>
        </is>
      </c>
      <c r="H101" s="52" t="n"/>
      <c r="I101" s="52" t="inlineStr">
        <is>
          <t>Комп'ютерні науки</t>
        </is>
      </c>
      <c r="J101" s="52" t="inlineStr">
        <is>
          <t>Аспірантура і докторантура</t>
        </is>
      </c>
      <c r="K101" s="52" t="n">
        <v>3</v>
      </c>
      <c r="L101" s="52" t="n">
        <v>21</v>
      </c>
      <c r="M101" s="56">
        <f>IF(K101=0,"н/д",L101/K101)</f>
        <v/>
      </c>
      <c r="N101" s="52" t="inlineStr">
        <is>
          <t>26.08.2026</t>
        </is>
      </c>
      <c r="O101" s="57" t="n">
        <v>0.6</v>
      </c>
      <c r="P101" s="57" t="n">
        <v>0</v>
      </c>
      <c r="Q101" s="57" t="n">
        <v>0</v>
      </c>
      <c r="R101" s="52" t="inlineStr">
        <is>
          <t>—</t>
        </is>
      </c>
      <c r="S101" s="52" t="inlineStr">
        <is>
          <t>—</t>
        </is>
      </c>
      <c r="T101" s="58">
        <f>0.2*'Бали кандидатів'!$B$6+0.2*'Бали кандидатів'!$B$7+O101*'Бали кандидатів'!$B$9+P101*'Бали кандидатів'!$B$10+Q101*'Бали кандидатів'!$B$11</f>
        <v/>
      </c>
      <c r="U101" s="58">
        <f>0.2*'Бали кандидатів'!$C$6+0.2*'Бали кандидатів'!$C$7+O101*'Бали кандидатів'!$C$9+P101*'Бали кандидатів'!$C$10+Q101*'Бали кандидатів'!$C$11</f>
        <v/>
      </c>
      <c r="V101" s="59">
        <f>IF('Бали кандидатів'!$B$14&gt;=300,"OK","НЕ ДОПУЩЕНО")</f>
        <v/>
      </c>
      <c r="W101" s="59">
        <f>IF('Бали кандидатів'!$C$14&gt;=300,"OK","НЕ ДОПУЩЕНО")</f>
        <v/>
      </c>
      <c r="X101" s="52">
        <f>IF(AND(OR(R101="—",'Бали кандидатів'!$B$9&gt;=R101),OR(S101="—",'Бали кандидатів'!$B$10&gt;=S101)),"проходить","НИЖЧЕ мін. балу")</f>
        <v/>
      </c>
      <c r="Y101" s="55">
        <f>IF(AND(OR(R101="—",'Бали кандидатів'!$C$9&gt;=R101),OR(S101="—",'Бали кандидатів'!$C$10&gt;=S101)),"проходить","НИЖЧЕ мін. балу")</f>
        <v/>
      </c>
      <c r="Z101" s="55" t="inlineStr">
        <is>
          <t>Тільки іспит зі спеціальності</t>
        </is>
      </c>
      <c r="AA101" s="60" t="n"/>
      <c r="AB101" s="60" t="n"/>
      <c r="AC101" s="52" t="n"/>
      <c r="AD101" s="60" t="n"/>
      <c r="AE101" s="52" t="inlineStr">
        <is>
          <t>https://vstup.osvita.ua/r5/36/entrance.html</t>
        </is>
      </c>
      <c r="AF101" s="60" t="inlineStr">
        <is>
          <t>https://vstup.osvita.ua/y2026/r5/36/1643087/</t>
        </is>
      </c>
      <c r="AG101" s="60" t="n"/>
      <c r="AH101" s="60" t="n"/>
      <c r="AI101" s="52" t="n"/>
      <c r="AJ101" s="37" t="inlineStr"/>
      <c r="AK101" s="37" t="inlineStr"/>
      <c r="AL101" s="37" t="inlineStr"/>
      <c r="AM101" s="37">
        <f>IF(AJ101="","дані ще не вивантажені",IF('Бали кандидатів'!$B$7&gt;=AJ101,"проходить","НЕ проходить за ЄВВ"))</f>
        <v/>
      </c>
      <c r="AN101" s="37">
        <f>IF(AJ101="","дані ще не вивантажені",IF('Бали кандидатів'!$C$7&gt;=AJ101,"проходить","НЕ проходить за ЄВВ"))</f>
        <v/>
      </c>
    </row>
    <row r="102" ht="26.85" customHeight="1" s="38">
      <c r="A102" s="51" t="inlineStr">
        <is>
          <t>F2 Інженерія ПЗ</t>
        </is>
      </c>
      <c r="B102" s="52" t="inlineStr">
        <is>
          <t>НУ «Київський авіаційний інститут»</t>
        </is>
      </c>
      <c r="C102" s="52" t="inlineStr">
        <is>
          <t>Київ</t>
        </is>
      </c>
      <c r="D102" s="53" t="inlineStr">
        <is>
          <t>Київ</t>
        </is>
      </c>
      <c r="E102" s="54" t="inlineStr">
        <is>
          <t>ТАК</t>
        </is>
      </c>
      <c r="F102" s="53" t="inlineStr">
        <is>
          <t>Фіксована</t>
        </is>
      </c>
      <c r="G102" s="55" t="inlineStr">
        <is>
          <t>ні</t>
        </is>
      </c>
      <c r="H102" s="52" t="n"/>
      <c r="I102" s="52" t="inlineStr">
        <is>
          <t>Інженерія програмного забезпечення</t>
        </is>
      </c>
      <c r="J102" s="52" t="inlineStr">
        <is>
          <t>Комп'ютерних наук та технологій</t>
        </is>
      </c>
      <c r="K102" s="52" t="n">
        <v>3</v>
      </c>
      <c r="L102" s="52" t="n">
        <v>21</v>
      </c>
      <c r="M102" s="56">
        <f>IF(K102=0,"н/д",L102/K102)</f>
        <v/>
      </c>
      <c r="N102" s="52" t="inlineStr">
        <is>
          <t>26.08.2026</t>
        </is>
      </c>
      <c r="O102" s="57" t="n">
        <v>0.2</v>
      </c>
      <c r="P102" s="57" t="n">
        <v>0.4</v>
      </c>
      <c r="Q102" s="57" t="n">
        <v>0</v>
      </c>
      <c r="R102" s="52" t="n">
        <v>100</v>
      </c>
      <c r="S102" s="52" t="n">
        <v>100</v>
      </c>
      <c r="T102" s="58">
        <f>0.2*'Бали кандидатів'!$B$6+0.2*'Бали кандидатів'!$B$7+O102*'Бали кандидатів'!$B$9+P102*'Бали кандидатів'!$B$10+Q102*'Бали кандидатів'!$B$11</f>
        <v/>
      </c>
      <c r="U102" s="58">
        <f>0.2*'Бали кандидатів'!$C$6+0.2*'Бали кандидатів'!$C$7+O102*'Бали кандидатів'!$C$9+P102*'Бали кандидатів'!$C$10+Q102*'Бали кандидатів'!$C$11</f>
        <v/>
      </c>
      <c r="V102" s="59">
        <f>IF('Бали кандидатів'!$B$14&gt;=300,"OK","НЕ ДОПУЩЕНО")</f>
        <v/>
      </c>
      <c r="W102" s="59">
        <f>IF('Бали кандидатів'!$C$14&gt;=300,"OK","НЕ ДОПУЩЕНО")</f>
        <v/>
      </c>
      <c r="X102" s="52">
        <f>IF(AND(OR(R102="—",'Бали кандидатів'!$B$9&gt;=R102),OR(S102="—",'Бали кандидатів'!$B$10&gt;=S102)),"проходить","НИЖЧЕ мін. балу")</f>
        <v/>
      </c>
      <c r="Y102" s="55">
        <f>IF(AND(OR(R102="—",'Бали кандидатів'!$C$9&gt;=R102),OR(S102="—",'Бали кандидатів'!$C$10&gt;=S102)),"проходить","НИЖЧЕ мін. балу")</f>
        <v/>
      </c>
      <c r="Z102" s="55" t="inlineStr">
        <is>
          <t>Дослідницька пропозиція важить більше або нарівні з іспитом</t>
        </is>
      </c>
      <c r="AA102" s="60" t="n"/>
      <c r="AB102" s="60" t="n"/>
      <c r="AC102" s="52" t="n"/>
      <c r="AD102" s="60" t="n"/>
      <c r="AE102" s="52" t="inlineStr">
        <is>
          <t>https://vstup.osvita.ua/r27/7208/entrance.html</t>
        </is>
      </c>
      <c r="AF102" s="60" t="inlineStr">
        <is>
          <t>https://vstup.osvita.ua/y2026/r27/7208/1652694/</t>
        </is>
      </c>
      <c r="AG102" s="60" t="n"/>
      <c r="AH102" s="60" t="n"/>
      <c r="AI102" s="52" t="n"/>
      <c r="AJ102" s="37" t="inlineStr"/>
      <c r="AK102" s="37" t="inlineStr"/>
      <c r="AL102" s="37" t="inlineStr"/>
      <c r="AM102" s="37">
        <f>IF(AJ102="","дані ще не вивантажені",IF('Бали кандидатів'!$B$7&gt;=AJ102,"проходить","НЕ проходить за ЄВВ"))</f>
        <v/>
      </c>
      <c r="AN102" s="37">
        <f>IF(AJ102="","дані ще не вивантажені",IF('Бали кандидатів'!$C$7&gt;=AJ102,"проходить","НЕ проходить за ЄВВ"))</f>
        <v/>
      </c>
    </row>
    <row r="103" ht="15" customHeight="1" s="38">
      <c r="A103" s="51" t="inlineStr">
        <is>
          <t>F3 Комп'ютерні науки</t>
        </is>
      </c>
      <c r="B103" s="52" t="inlineStr">
        <is>
          <t>Національний лісотехнічний університет України</t>
        </is>
      </c>
      <c r="C103" s="52" t="inlineStr">
        <is>
          <t>Львів</t>
        </is>
      </c>
      <c r="D103" s="53" t="inlineStr">
        <is>
          <t>Львівська</t>
        </is>
      </c>
      <c r="E103" s="54" t="inlineStr">
        <is>
          <t>ТАК</t>
        </is>
      </c>
      <c r="F103" s="53" t="inlineStr">
        <is>
          <t>Фіксована</t>
        </is>
      </c>
      <c r="G103" s="55" t="inlineStr">
        <is>
          <t>ні</t>
        </is>
      </c>
      <c r="H103" s="52" t="n"/>
      <c r="I103" s="52" t="inlineStr">
        <is>
          <t>Комп'ютерні науки</t>
        </is>
      </c>
      <c r="J103" s="52" t="inlineStr">
        <is>
          <t>Інститут комп. наук та інформаційних технологій</t>
        </is>
      </c>
      <c r="K103" s="52" t="n">
        <v>6</v>
      </c>
      <c r="L103" s="61" t="n">
        <v>43</v>
      </c>
      <c r="M103" s="56">
        <f>IF(K103=0,"н/д",L103/K103)</f>
        <v/>
      </c>
      <c r="N103" s="62" t="inlineStr">
        <is>
          <t>25.08.2026 (застаріле)</t>
        </is>
      </c>
      <c r="O103" s="57" t="n">
        <v>0.6</v>
      </c>
      <c r="P103" s="57" t="n">
        <v>0</v>
      </c>
      <c r="Q103" s="57" t="n">
        <v>0</v>
      </c>
      <c r="R103" s="52" t="n">
        <v>100</v>
      </c>
      <c r="S103" s="52" t="inlineStr">
        <is>
          <t>—</t>
        </is>
      </c>
      <c r="T103" s="58">
        <f>0.2*'Бали кандидатів'!$B$6+0.2*'Бали кандидатів'!$B$7+O103*'Бали кандидатів'!$B$9+P103*'Бали кандидатів'!$B$10+Q103*'Бали кандидатів'!$B$11</f>
        <v/>
      </c>
      <c r="U103" s="58">
        <f>0.2*'Бали кандидатів'!$C$6+0.2*'Бали кандидатів'!$C$7+O103*'Бали кандидатів'!$C$9+P103*'Бали кандидатів'!$C$10+Q103*'Бали кандидатів'!$C$11</f>
        <v/>
      </c>
      <c r="V103" s="59">
        <f>IF('Бали кандидатів'!$B$14&gt;=300,"OK","НЕ ДОПУЩЕНО")</f>
        <v/>
      </c>
      <c r="W103" s="59">
        <f>IF('Бали кандидатів'!$C$14&gt;=300,"OK","НЕ ДОПУЩЕНО")</f>
        <v/>
      </c>
      <c r="X103" s="52">
        <f>IF(AND(OR(R103="—",'Бали кандидатів'!$B$9&gt;=R103),OR(S103="—",'Бали кандидатів'!$B$10&gt;=S103)),"проходить","НИЖЧЕ мін. балу")</f>
        <v/>
      </c>
      <c r="Y103" s="55">
        <f>IF(AND(OR(R103="—",'Бали кандидатів'!$C$9&gt;=R103),OR(S103="—",'Бали кандидатів'!$C$10&gt;=S103)),"проходить","НИЖЧЕ мін. балу")</f>
        <v/>
      </c>
      <c r="Z103" s="55" t="inlineStr">
        <is>
          <t>Тільки іспит зі спеціальності</t>
        </is>
      </c>
      <c r="AA103" s="60" t="n"/>
      <c r="AB103" s="60" t="n"/>
      <c r="AC103" s="52" t="n"/>
      <c r="AD103" s="60" t="n"/>
      <c r="AE103" s="52" t="inlineStr">
        <is>
          <t>https://vstup.osvita.ua/r14/160/entrance.html</t>
        </is>
      </c>
      <c r="AF103" s="60" t="inlineStr">
        <is>
          <t>https://vstup.osvita.ua/y2026/r14/160/1651948/</t>
        </is>
      </c>
      <c r="AG103" s="60" t="n"/>
      <c r="AH103" s="60" t="n"/>
      <c r="AI103" s="52" t="n"/>
      <c r="AJ103" s="37" t="inlineStr"/>
      <c r="AK103" s="37" t="inlineStr"/>
      <c r="AL103" s="37" t="inlineStr"/>
      <c r="AM103" s="37">
        <f>IF(AJ103="","дані ще не вивантажені",IF('Бали кандидатів'!$B$7&gt;=AJ103,"проходить","НЕ проходить за ЄВВ"))</f>
        <v/>
      </c>
      <c r="AN103" s="37">
        <f>IF(AJ103="","дані ще не вивантажені",IF('Бали кандидатів'!$C$7&gt;=AJ103,"проходить","НЕ проходить за ЄВВ"))</f>
        <v/>
      </c>
    </row>
    <row r="104" ht="15" customHeight="1" s="38">
      <c r="A104" s="51" t="inlineStr">
        <is>
          <t>F3 Комп'ютерні науки</t>
        </is>
      </c>
      <c r="B104" s="52" t="inlineStr">
        <is>
          <t>КПІ ім. Ігоря Сікорського</t>
        </is>
      </c>
      <c r="C104" s="52" t="inlineStr">
        <is>
          <t>Київ</t>
        </is>
      </c>
      <c r="D104" s="53" t="inlineStr">
        <is>
          <t>Київ</t>
        </is>
      </c>
      <c r="E104" s="54" t="inlineStr">
        <is>
          <t>ТАК</t>
        </is>
      </c>
      <c r="F104" s="53" t="inlineStr">
        <is>
          <t>Фіксована</t>
        </is>
      </c>
      <c r="G104" s="55" t="inlineStr">
        <is>
          <t>ні</t>
        </is>
      </c>
      <c r="H104" s="52" t="n"/>
      <c r="I104" s="52" t="inlineStr">
        <is>
          <t>Комп'ютерні науки</t>
        </is>
      </c>
      <c r="J104" s="52" t="inlineStr">
        <is>
          <t>Біомедичної інженерії</t>
        </is>
      </c>
      <c r="K104" s="52" t="n">
        <v>3</v>
      </c>
      <c r="L104" s="52" t="n">
        <v>25</v>
      </c>
      <c r="M104" s="56">
        <f>IF(K104=0,"н/д",L104/K104)</f>
        <v/>
      </c>
      <c r="N104" s="52" t="inlineStr">
        <is>
          <t>26.08.2026</t>
        </is>
      </c>
      <c r="O104" s="57" t="n">
        <v>0.6</v>
      </c>
      <c r="P104" s="57" t="n">
        <v>0</v>
      </c>
      <c r="Q104" s="57" t="n">
        <v>0</v>
      </c>
      <c r="R104" s="52" t="inlineStr">
        <is>
          <t>—</t>
        </is>
      </c>
      <c r="S104" s="52" t="inlineStr">
        <is>
          <t>—</t>
        </is>
      </c>
      <c r="T104" s="58">
        <f>0.2*'Бали кандидатів'!$B$6+0.2*'Бали кандидатів'!$B$7+O104*'Бали кандидатів'!$B$9+P104*'Бали кандидатів'!$B$10+Q104*'Бали кандидатів'!$B$11</f>
        <v/>
      </c>
      <c r="U104" s="58">
        <f>0.2*'Бали кандидатів'!$C$6+0.2*'Бали кандидатів'!$C$7+O104*'Бали кандидатів'!$C$9+P104*'Бали кандидатів'!$C$10+Q104*'Бали кандидатів'!$C$11</f>
        <v/>
      </c>
      <c r="V104" s="59">
        <f>IF('Бали кандидатів'!$B$14&gt;=300,"OK","НЕ ДОПУЩЕНО")</f>
        <v/>
      </c>
      <c r="W104" s="59">
        <f>IF('Бали кандидатів'!$C$14&gt;=300,"OK","НЕ ДОПУЩЕНО")</f>
        <v/>
      </c>
      <c r="X104" s="52">
        <f>IF(AND(OR(R104="—",'Бали кандидатів'!$B$9&gt;=R104),OR(S104="—",'Бали кандидатів'!$B$10&gt;=S104)),"проходить","НИЖЧЕ мін. балу")</f>
        <v/>
      </c>
      <c r="Y104" s="55">
        <f>IF(AND(OR(R104="—",'Бали кандидатів'!$C$9&gt;=R104),OR(S104="—",'Бали кандидатів'!$C$10&gt;=S104)),"проходить","НИЖЧЕ мін. балу")</f>
        <v/>
      </c>
      <c r="Z104" s="55" t="inlineStr">
        <is>
          <t>Тільки іспит зі спеціальності</t>
        </is>
      </c>
      <c r="AA104" s="60" t="n"/>
      <c r="AB104" s="60" t="n"/>
      <c r="AC104" s="52" t="n"/>
      <c r="AD104" s="60" t="n"/>
      <c r="AE104" s="52" t="inlineStr">
        <is>
          <t>https://vstup.osvita.ua/r27/174/entrance.html</t>
        </is>
      </c>
      <c r="AF104" s="60" t="inlineStr">
        <is>
          <t>https://vstup.osvita.ua/y2026/r27/174/1650917/</t>
        </is>
      </c>
      <c r="AG104" s="60" t="n"/>
      <c r="AH104" s="60" t="n"/>
      <c r="AI104" s="52" t="n"/>
      <c r="AJ104" s="37" t="inlineStr"/>
      <c r="AK104" s="37" t="inlineStr"/>
      <c r="AL104" s="37" t="inlineStr"/>
      <c r="AM104" s="37">
        <f>IF(AJ104="","дані ще не вивантажені",IF('Бали кандидатів'!$B$7&gt;=AJ104,"проходить","НЕ проходить за ЄВВ"))</f>
        <v/>
      </c>
      <c r="AN104" s="37">
        <f>IF(AJ104="","дані ще не вивантажені",IF('Бали кандидатів'!$C$7&gt;=AJ104,"проходить","НЕ проходить за ЄВВ"))</f>
        <v/>
      </c>
    </row>
    <row r="105" ht="15" customHeight="1" s="38">
      <c r="A105" s="51" t="inlineStr">
        <is>
          <t>F3 Комп'ютерні науки</t>
        </is>
      </c>
      <c r="B105" s="52" t="inlineStr">
        <is>
          <t>НУ «Запорізька політехніка»</t>
        </is>
      </c>
      <c r="C105" s="52" t="inlineStr">
        <is>
          <t>Запоріжжя</t>
        </is>
      </c>
      <c r="D105" s="53" t="inlineStr">
        <is>
          <t>Запорізька</t>
        </is>
      </c>
      <c r="E105" s="63" t="inlineStr">
        <is>
          <t>під питанням (ЛО=0)</t>
        </is>
      </c>
      <c r="F105" s="53" t="inlineStr">
        <is>
          <t>Фіксована</t>
        </is>
      </c>
      <c r="G105" s="55" t="inlineStr">
        <is>
          <t>ні</t>
        </is>
      </c>
      <c r="H105" s="52" t="n"/>
      <c r="I105" s="52" t="inlineStr">
        <is>
          <t>Комп'ютерні науки</t>
        </is>
      </c>
      <c r="J105" s="52" t="n"/>
      <c r="K105" s="52" t="n">
        <v>0</v>
      </c>
      <c r="L105" s="61" t="n">
        <v>20</v>
      </c>
      <c r="M105" s="56">
        <f>IF(K105=0,"н/д",L105/K105)</f>
        <v/>
      </c>
      <c r="N105" s="62" t="inlineStr">
        <is>
          <t>25.08.2026 (застаріле)</t>
        </is>
      </c>
      <c r="O105" s="57" t="n">
        <v>0.6</v>
      </c>
      <c r="P105" s="57" t="n">
        <v>0</v>
      </c>
      <c r="Q105" s="57" t="n">
        <v>0</v>
      </c>
      <c r="R105" s="52" t="inlineStr">
        <is>
          <t>—</t>
        </is>
      </c>
      <c r="S105" s="52" t="inlineStr">
        <is>
          <t>—</t>
        </is>
      </c>
      <c r="T105" s="58">
        <f>0.2*'Бали кандидатів'!$B$6+0.2*'Бали кандидатів'!$B$7+O105*'Бали кандидатів'!$B$9+P105*'Бали кандидатів'!$B$10+Q105*'Бали кандидатів'!$B$11</f>
        <v/>
      </c>
      <c r="U105" s="58">
        <f>0.2*'Бали кандидатів'!$C$6+0.2*'Бали кандидатів'!$C$7+O105*'Бали кандидатів'!$C$9+P105*'Бали кандидатів'!$C$10+Q105*'Бали кандидатів'!$C$11</f>
        <v/>
      </c>
      <c r="V105" s="59">
        <f>IF('Бали кандидатів'!$B$14&gt;=300,"OK","НЕ ДОПУЩЕНО")</f>
        <v/>
      </c>
      <c r="W105" s="59">
        <f>IF('Бали кандидатів'!$C$14&gt;=300,"OK","НЕ ДОПУЩЕНО")</f>
        <v/>
      </c>
      <c r="X105" s="52">
        <f>IF(AND(OR(R105="—",'Бали кандидатів'!$B$9&gt;=R105),OR(S105="—",'Бали кандидатів'!$B$10&gt;=S105)),"проходить","НИЖЧЕ мін. балу")</f>
        <v/>
      </c>
      <c r="Y105" s="55">
        <f>IF(AND(OR(R105="—",'Бали кандидатів'!$C$9&gt;=R105),OR(S105="—",'Бали кандидатів'!$C$10&gt;=S105)),"проходить","НИЖЧЕ мін. балу")</f>
        <v/>
      </c>
      <c r="Z105" s="55" t="inlineStr">
        <is>
          <t>Тільки іспит зі спеціальності</t>
        </is>
      </c>
      <c r="AA105" s="60" t="inlineStr">
        <is>
          <t>Ліцензований обсяг показано як 0 — уточнювати у ЗВО</t>
        </is>
      </c>
      <c r="AB105" s="60" t="n"/>
      <c r="AC105" s="52" t="n"/>
      <c r="AD105" s="60" t="n"/>
      <c r="AE105" s="52" t="inlineStr">
        <is>
          <t>https://vstup.osvita.ua/r9/91/entrance.html</t>
        </is>
      </c>
      <c r="AF105" s="60" t="inlineStr">
        <is>
          <t>https://vstup.osvita.ua/y2026/r9/91/1649606/</t>
        </is>
      </c>
      <c r="AG105" s="60" t="n"/>
      <c r="AH105" s="60" t="n"/>
      <c r="AI105" s="52" t="n"/>
      <c r="AJ105" s="37" t="inlineStr"/>
      <c r="AK105" s="37" t="inlineStr"/>
      <c r="AL105" s="37" t="inlineStr"/>
      <c r="AM105" s="37">
        <f>IF(AJ105="","дані ще не вивантажені",IF('Бали кандидатів'!$B$7&gt;=AJ105,"проходить","НЕ проходить за ЄВВ"))</f>
        <v/>
      </c>
      <c r="AN105" s="37">
        <f>IF(AJ105="","дані ще не вивантажені",IF('Бали кандидатів'!$C$7&gt;=AJ105,"проходить","НЕ проходить за ЄВВ"))</f>
        <v/>
      </c>
    </row>
    <row r="106" ht="26.85" customHeight="1" s="38">
      <c r="A106" s="51" t="inlineStr">
        <is>
          <t>F4 Системний аналіз</t>
        </is>
      </c>
      <c r="B106" s="52" t="inlineStr">
        <is>
          <t>НУ «Запорізька політехніка»</t>
        </is>
      </c>
      <c r="C106" s="52" t="inlineStr">
        <is>
          <t>Запоріжжя</t>
        </is>
      </c>
      <c r="D106" s="53" t="inlineStr">
        <is>
          <t>Запорізька</t>
        </is>
      </c>
      <c r="E106" s="63" t="inlineStr">
        <is>
          <t>під питанням (ЛО=0)</t>
        </is>
      </c>
      <c r="F106" s="53" t="inlineStr">
        <is>
          <t>Фіксована</t>
        </is>
      </c>
      <c r="G106" s="55" t="inlineStr">
        <is>
          <t>ні</t>
        </is>
      </c>
      <c r="H106" s="52" t="n"/>
      <c r="I106" s="52" t="inlineStr">
        <is>
          <t>Системний аналіз</t>
        </is>
      </c>
      <c r="J106" s="52" t="n"/>
      <c r="K106" s="52" t="n">
        <v>0</v>
      </c>
      <c r="L106" s="52" t="n">
        <v>13</v>
      </c>
      <c r="M106" s="56">
        <f>IF(K106=0,"н/д",L106/K106)</f>
        <v/>
      </c>
      <c r="N106" s="52" t="inlineStr">
        <is>
          <t>26.08.2026</t>
        </is>
      </c>
      <c r="O106" s="63" t="inlineStr">
        <is>
          <t>?</t>
        </is>
      </c>
      <c r="P106" s="63" t="inlineStr">
        <is>
          <t>?</t>
        </is>
      </c>
      <c r="Q106" s="63" t="inlineStr">
        <is>
          <t>?</t>
        </is>
      </c>
      <c r="R106" s="52" t="inlineStr">
        <is>
          <t>?</t>
        </is>
      </c>
      <c r="S106" s="52" t="inlineStr">
        <is>
          <t>?</t>
        </is>
      </c>
      <c r="T106" s="64" t="inlineStr">
        <is>
          <t>ваги невідомі</t>
        </is>
      </c>
      <c r="U106" s="64" t="inlineStr">
        <is>
          <t>ваги невідомі</t>
        </is>
      </c>
      <c r="V106" s="59">
        <f>IF('Бали кандидатів'!$B$14&gt;=300,"OK","НЕ ДОПУЩЕНО")</f>
        <v/>
      </c>
      <c r="W106" s="59">
        <f>IF('Бали кандидатів'!$C$14&gt;=300,"OK","НЕ ДОПУЩЕНО")</f>
        <v/>
      </c>
      <c r="X106" s="52" t="inlineStr">
        <is>
          <t>—</t>
        </is>
      </c>
      <c r="Y106" s="55" t="inlineStr">
        <is>
          <t>—</t>
        </is>
      </c>
      <c r="Z106" s="55" t="inlineStr">
        <is>
          <t>ваги не зчитані — уточнити на сторінці пропозиції</t>
        </is>
      </c>
      <c r="AA106" s="60" t="inlineStr">
        <is>
          <t>Складові конкурсного бала у вихідних даних відсутні — відкрити «Детальніше» на сторінці ЗВО</t>
        </is>
      </c>
      <c r="AB106" s="60" t="n"/>
      <c r="AC106" s="52" t="n"/>
      <c r="AD106" s="60" t="n"/>
      <c r="AE106" s="52" t="inlineStr">
        <is>
          <t>https://vstup.osvita.ua/r9/91/entrance.html</t>
        </is>
      </c>
      <c r="AF106" s="60" t="inlineStr">
        <is>
          <t>https://vstup.osvita.ua/r9/91/</t>
        </is>
      </c>
      <c r="AG106" s="60" t="n"/>
      <c r="AH106" s="60" t="n"/>
      <c r="AI106" s="52" t="n"/>
      <c r="AJ106" s="37" t="inlineStr"/>
      <c r="AK106" s="37" t="inlineStr"/>
      <c r="AL106" s="37" t="inlineStr"/>
      <c r="AM106" s="37">
        <f>IF(AJ106="","дані ще не вивантажені",IF('Бали кандидатів'!$B$7&gt;=AJ106,"проходить","НЕ проходить за ЄВВ"))</f>
        <v/>
      </c>
      <c r="AN106" s="37">
        <f>IF(AJ106="","дані ще не вивантажені",IF('Бали кандидатів'!$C$7&gt;=AJ106,"проходить","НЕ проходить за ЄВВ"))</f>
        <v/>
      </c>
    </row>
    <row r="107">
      <c r="A107" t="inlineStr">
        <is>
          <t>G3 Електрична інженерія</t>
        </is>
      </c>
      <c r="B107" t="inlineStr">
        <is>
          <t>Національний університет "Запорізька політехніка"</t>
        </is>
      </c>
      <c r="C107" t="inlineStr">
        <is>
          <t>Запоріжжя</t>
        </is>
      </c>
      <c r="D107" t="inlineStr">
        <is>
          <t>Запорізька</t>
        </is>
      </c>
      <c r="E107" t="inlineStr">
        <is>
          <t>ТАК</t>
        </is>
      </c>
      <c r="F107" t="inlineStr">
        <is>
          <t>Фіксована</t>
        </is>
      </c>
      <c r="G107" t="inlineStr">
        <is>
          <t>ні</t>
        </is>
      </c>
      <c r="H107" t="inlineStr"/>
      <c r="I107" t="inlineStr">
        <is>
          <t>електроенергетика, електротехніка та електромеханіка</t>
        </is>
      </c>
      <c r="J107" t="inlineStr"/>
      <c r="K107" t="n">
        <v>0</v>
      </c>
      <c r="L107" t="n">
        <v>26</v>
      </c>
      <c r="M107">
        <f>IF(K107=0,"н/д",L107/K107)</f>
        <v/>
      </c>
      <c r="N107" t="inlineStr">
        <is>
          <t>27.08.2026 (скриншот сторінки пропозиції, кампанія 2026)</t>
        </is>
      </c>
      <c r="O107" t="n">
        <v>0.6</v>
      </c>
      <c r="P107" t="n">
        <v>0</v>
      </c>
      <c r="Q107" t="n">
        <v>0</v>
      </c>
      <c r="R107" t="inlineStr">
        <is>
          <t>не встановлено</t>
        </is>
      </c>
      <c r="S107" t="inlineStr">
        <is>
          <t>—</t>
        </is>
      </c>
      <c r="T107">
        <f>0.2*'Бали кандидатів'!$B$6+0.2*'Бали кандидатів'!$B$7+O107*'Бали кандидатів'!$B$9+P107*'Бали кандидатів'!$B$10+Q107*'Бали кандидатів'!$B$11</f>
        <v/>
      </c>
      <c r="U107">
        <f>0.2*'Бали кандидатів'!$C$6+0.2*'Бали кандидатів'!$C$7+O107*'Бали кандидатів'!$C$9+P107*'Бали кандидатів'!$C$10+Q107*'Бали кандидатів'!$C$11</f>
        <v/>
      </c>
      <c r="V107">
        <f>IF('Бали кандидатів'!$B$14&gt;=300,"OK","НЕ ДОПУЩЕНО")</f>
        <v/>
      </c>
      <c r="W107">
        <f>IF('Бали кандидатів'!$C$14&gt;=300,"OK","НЕ ДОПУЩЕНО")</f>
        <v/>
      </c>
      <c r="X107">
        <f>IF(AND(OR(R107="—",'Бали кандидатів'!$B$9&gt;=R107),OR(S107="—",'Бали кандидатів'!$B$10&gt;=S107)),"проходить","НИЖЧЕ мін. балу")</f>
        <v/>
      </c>
      <c r="Y107">
        <f>IF(AND(OR(R107="—",'Бали кандидатів'!$C$9&gt;=R107),OR(S107="—",'Бали кандидатів'!$C$10&gt;=S107)),"проходить","НИЖЧЕ мін. балу")</f>
        <v/>
      </c>
      <c r="Z107" t="inlineStr">
        <is>
          <t>Тільки іспит зі спеціальності</t>
        </is>
      </c>
      <c r="AA107" t="inlineStr">
        <is>
          <t>ГАЛУЗЬ «Інженерія, виробництво та будівництво», НЕ IT. Ліцензований обсяг = 0, тому «заяв на місце» не рахується. Мін. бал за іноземну та ТЗНК на сторінці НЕ вказано (на відміну від пропозицій F3, де скрізь 150). Вартість контракту 48500 грн/рік. Подача 07.08–07.09.2026, навчання 01.10.2026–30.09.2030.</t>
        </is>
      </c>
      <c r="AB107" t="inlineStr"/>
      <c r="AC107" t="inlineStr"/>
      <c r="AD107" t="inlineStr"/>
      <c r="AE107" t="inlineStr">
        <is>
          <t>https://vstup.osvita.ua/r9/91/entrance.html</t>
        </is>
      </c>
      <c r="AF107" t="inlineStr">
        <is>
          <t>https://vstup.osvita.ua/r9/91/</t>
        </is>
      </c>
      <c r="AJ107" t="n">
        <v>100</v>
      </c>
      <c r="AK107" t="inlineStr"/>
      <c r="AL107" t="inlineStr"/>
      <c r="AM107">
        <f>IF(AJ107="","дані ще не вивантажені",IF('Бали кандидатів'!$B$7&gt;=AJ107,"проходить","НЕ проходить за ЄВВ"))</f>
        <v/>
      </c>
      <c r="AN107">
        <f>IF(AJ107="","дані ще не вивантажені",IF('Бали кандидатів'!$C$7&gt;=AJ107,"проходить","НЕ проходить за ЄВВ"))</f>
        <v/>
      </c>
    </row>
    <row r="108" ht="15" customHeight="1" s="38">
      <c r="A108" s="45" t="inlineStr">
        <is>
          <t>ЛЕГЕНДА</t>
        </is>
      </c>
    </row>
    <row r="109" ht="15" customHeight="1" s="38">
      <c r="A109" s="47" t="inlineStr">
        <is>
          <t>Колонка «Дані станом на»: 50 пропозицій оновлено з ЄДЕБО 26.08.2026, 17 (помаранчеві) віддалися з кешу за 25.08 — їхня кількість заяв майже напевно занижена. Перевірте їх за посиланням у колонці «Сторінка пропозиції».</t>
        </is>
      </c>
    </row>
    <row r="110" ht="15" customHeight="1" s="38">
      <c r="A110" s="47" t="inlineStr">
        <is>
          <t>Таблиця охоплює ТРИ спеціальності: F3 Комп'ютерні науки (67), F2 Інженерія ПЗ (28), F4 Системний аналіз та наука про дані (10). Фільтруйте колонкою «СПЕЦІАЛЬНІСТЬ». Подавати заяви можна на обидві — це різні конкурси.</t>
        </is>
      </c>
    </row>
    <row r="111" ht="15" customHeight="1" s="38">
      <c r="A111" s="47" t="inlineStr">
        <is>
          <t>Дані по F2 і F4 — з ЄДЕБО 26.08.2026 05:00. У рядках F4 ваги позначені «?»: у вихідних даних складових конкурсного бала не було. Відкрийте «Детальніше» на сторінці пропозиції, впишіть ваги — і КБ порахується.</t>
        </is>
      </c>
    </row>
    <row r="112" ht="15" customHeight="1" s="38">
      <c r="A112" s="47" t="inlineStr">
        <is>
          <t>Два стовпці КБ — для двох кандидатів. Вхідні бали задаються на аркуші «Бали кандидатів».</t>
        </is>
      </c>
    </row>
    <row r="113" ht="15" customHeight="1" s="38">
      <c r="A113" s="47" t="inlineStr">
        <is>
          <t>ДАТА/ЧАС/МІСЦЕ іспиту: єдиного реєстру немає. Загальнонаціональне вікно — 8–21 вересня 2026; конкретну дату кожен ЗВО оголошує сам. Зеленим заповнено лише те, що підтверджено офіційним розкладом (ЛНУ ім. Франка, F3 — 19.09.2026, 14:00). Решту заповнюєте після відповіді ЗВО.</t>
        </is>
      </c>
    </row>
    <row r="114" ht="15" customHeight="1" s="38">
      <c r="A114" s="47" t="inlineStr">
        <is>
          <t>Перевірте, щоб дати іспитів у ваших 5 заявах не збіглися: перескладання не допускається, а неявка без поважної причини знімає з конкурсу.</t>
        </is>
      </c>
    </row>
    <row r="115" ht="15" customHeight="1" s="38">
      <c r="A115" s="47" t="inlineStr">
        <is>
          <t>Колонка «Денна бюджетна?»: усі пропозиції списку — денна форма, тип «Фіксована». Фіксована пропозиція має визначений обсяг держзамовлення; на небюджетні пропозиції держзамовлення не розміщують. Виняток — НУ «Запорізька політехніка» з нульовим ліцензованим обсягом.</t>
        </is>
      </c>
    </row>
    <row r="116" ht="15" customHeight="1" s="38">
      <c r="A116" s="47" t="inlineStr">
        <is>
          <t>!! «Ліцензований обсяг» — НЕ кількість бюджетних місць, а ємність за ліцензією. Реальний конкурс на бюджетне місце вищий за показаний у колонці «Заяв на 1 ліценз. місце».</t>
        </is>
      </c>
    </row>
    <row r="117" ht="15" customHeight="1" s="38">
      <c r="A117" s="47" t="inlineStr">
        <is>
          <t>Небюджетні PhD-пропозиції з F3 (УКУ, ЛДУ безпеки життєдіяльності) — це заочна/вечірня форма, у цей список не входять.</t>
        </is>
      </c>
    </row>
    <row r="118" ht="15" customHeight="1" s="38">
      <c r="A118" s="47" t="inlineStr">
        <is>
          <t>Окремі ЗВО встановлюють власні, вищі пороги за ЄВІ, ніж показує ЄДЕБО — перевіряйте правила прийому.</t>
        </is>
      </c>
    </row>
    <row r="119" ht="15" customHeight="1" s="38">
      <c r="A119" s="47" t="inlineStr">
        <is>
          <t>Місто виведено за назвою та регіоном закладу з ЄДЕБО; переміщені ЗВО підсвічено помаранчевим.</t>
        </is>
      </c>
    </row>
    <row r="120" ht="15" customHeight="1" s="38">
      <c r="A120" s="47" t="inlineStr">
        <is>
          <t>Дані: сторінка 1 переліку оновлена з ЄДЕБО 26.08.2026 05:00, сторінка 2 — 25.08.2026 06:00. Заяви подають до 18:00 7 вересня, тому конкурс ще зросте.</t>
        </is>
      </c>
    </row>
  </sheetData>
  <autoFilter ref="A1:AI10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2" customWidth="1" style="37" min="1" max="1"/>
    <col width="18" customWidth="1" style="37" min="2" max="2"/>
    <col width="14" customWidth="1" style="37" min="3" max="3"/>
  </cols>
  <sheetData>
    <row r="1" ht="16.15" customHeight="1" s="38">
      <c r="A1" s="39" t="inlineStr">
        <is>
          <t>БЮДЖЕТНІ МІСЦЯ В АСПІРАНТУРУ 2026 — що відомо офіційно</t>
        </is>
      </c>
    </row>
    <row r="3" ht="57.75" customHeight="1" s="38">
      <c r="A3" s="66" t="inlineStr">
        <is>
          <t>Постанова КМУ від 13.07.2026 № 906. Усього на підготовку аспірантів — 6 073 бюджетні місця (у 2025 було 6 189). Розподіл ЗА ГАЛУЗЯМИ оприлюднено; розподіл МІЖ ЗАКЛАДАМИ здійснює конкурсна комісія МОН за формулою — торік це сталося аж 15 вересня, тобто вже після закриття подачі заяв.</t>
        </is>
      </c>
    </row>
    <row r="5" ht="15" customHeight="1" s="38">
      <c r="A5" s="41" t="inlineStr">
        <is>
          <t>Галузь знань</t>
        </is>
      </c>
      <c r="B5" s="41" t="inlineStr">
        <is>
          <t>Бюджетних місць</t>
        </is>
      </c>
    </row>
    <row r="6" ht="15" customHeight="1" s="38">
      <c r="A6" s="67" t="inlineStr">
        <is>
          <t>Інженерія, виробництво та будівництво</t>
        </is>
      </c>
      <c r="B6" s="52" t="n">
        <v>1616</v>
      </c>
    </row>
    <row r="7" ht="15" customHeight="1" s="38">
      <c r="A7" s="67" t="inlineStr">
        <is>
          <t>Природничі науки, математика та статистика</t>
        </is>
      </c>
      <c r="B7" s="52" t="n">
        <v>901</v>
      </c>
    </row>
    <row r="8" ht="15" customHeight="1" s="38">
      <c r="A8" s="68" t="inlineStr">
        <is>
          <t>Інформаційні технології  ← сюди входить F3 Комп'ютерні науки</t>
        </is>
      </c>
      <c r="B8" s="68" t="n">
        <v>769</v>
      </c>
    </row>
    <row r="9" ht="15" customHeight="1" s="38">
      <c r="A9" s="67" t="inlineStr">
        <is>
          <t>Охорона здоров'я та соціальне забезпечення</t>
        </is>
      </c>
      <c r="B9" s="52" t="n">
        <v>548</v>
      </c>
    </row>
    <row r="10" ht="15" customHeight="1" s="38">
      <c r="A10" s="67" t="inlineStr">
        <is>
          <t>Соціальні науки, журналістика, інформація та міжнародні відносини</t>
        </is>
      </c>
      <c r="B10" s="52" t="n">
        <v>489</v>
      </c>
    </row>
    <row r="11" ht="15" customHeight="1" s="38">
      <c r="A11" s="67" t="inlineStr">
        <is>
          <t>Культура, мистецтво та гуманітарні науки</t>
        </is>
      </c>
      <c r="B11" s="52" t="n">
        <v>437</v>
      </c>
    </row>
    <row r="12" ht="15" customHeight="1" s="38">
      <c r="A12" s="67" t="inlineStr">
        <is>
          <t>Освіта</t>
        </is>
      </c>
      <c r="B12" s="52" t="n">
        <v>385</v>
      </c>
    </row>
    <row r="13" ht="15" customHeight="1" s="38">
      <c r="A13" s="67" t="inlineStr">
        <is>
          <t>Сільське, лісове, рибне господарство та ветеринарна медицина</t>
        </is>
      </c>
      <c r="B13" s="52" t="n">
        <v>366</v>
      </c>
    </row>
    <row r="14" ht="15" customHeight="1" s="38">
      <c r="A14" s="67" t="inlineStr">
        <is>
          <t>Бізнес, адміністрування та право</t>
        </is>
      </c>
      <c r="B14" s="52" t="n">
        <v>354</v>
      </c>
    </row>
    <row r="15" ht="15" customHeight="1" s="38">
      <c r="A15" s="67" t="inlineStr">
        <is>
          <t>Безпека та оборона</t>
        </is>
      </c>
      <c r="B15" s="52" t="n">
        <v>108</v>
      </c>
    </row>
    <row r="16" ht="15" customHeight="1" s="38">
      <c r="A16" s="67" t="inlineStr">
        <is>
          <t>Транспорт та послуги</t>
        </is>
      </c>
      <c r="B16" s="52" t="n">
        <v>100</v>
      </c>
    </row>
    <row r="17" ht="15" customHeight="1" s="38">
      <c r="A17" s="45" t="inlineStr">
        <is>
          <t>РАЗОМ</t>
        </is>
      </c>
      <c r="B17" s="45">
        <f>SUM(B6:B16)</f>
        <v/>
      </c>
    </row>
    <row r="19" ht="15" customHeight="1" s="38">
      <c r="A19" s="45" t="inlineStr">
        <is>
          <t>ЩО З ЦЬОГО ВИПЛИВАЄ ДЛЯ F3</t>
        </is>
      </c>
    </row>
    <row r="20" ht="30" customHeight="1" s="38">
      <c r="A20" s="69" t="inlineStr">
        <is>
          <t>769 місць — це на ВСЮ галузь «Інформаційні технології», а в ній сім спеціальностей: F1 Прикладна математика, F2 Інженерія ПЗ, F3 Комп'ютерні науки, F4 Системний аналіз, F5 Кібербезпека, F6 Інформаційні системи, F7 Комп'ютерна інженерія.</t>
        </is>
      </c>
    </row>
    <row r="21" ht="30" customHeight="1" s="38">
      <c r="A21" s="69" t="inlineStr">
        <is>
          <t>Отже на F3 по всій Україні реально припадає помітно менше за 769 — і суттєво менше за 538 ліцензованих місць, які показує другий аркуш.</t>
        </is>
      </c>
    </row>
    <row r="22" ht="30" customHeight="1" s="38">
      <c r="A22" s="69" t="inlineStr">
        <is>
          <t>На вступні випробування до аспірантури цьогоріч зареєструвалося понад 20 тис. осіб (на чверть більше, ніж торік) на 6 073 місця — приблизно 3,3 претендента на місце по країні.</t>
        </is>
      </c>
    </row>
    <row r="23" ht="30" customHeight="1" s="38">
      <c r="A23" s="69" t="inlineStr">
        <is>
          <t>Вступ на денну форму на контракт неможливий — денна лише за держзамовленням.</t>
        </is>
      </c>
    </row>
    <row r="24" ht="30" customHeight="1" s="38">
      <c r="A24" s="69" t="inlineStr">
        <is>
          <t>Скільки місць отримає конкретний ЗВО за галуззю IT — стане відомо ближче до середини вересня, тобто ВЖЕ ПІСЛЯ того, як ви подасте заяви (дедлайн 7 вересня). Це не помилка даних, а порядок процесу.</t>
        </is>
      </c>
    </row>
    <row r="25" ht="30" customHeight="1" s="38">
      <c r="A25" s="69" t="inlineStr">
        <is>
          <t>Практичний висновок: подавайте всі 5 бюджетних заяв і не покладайтеся на одну «безпечну» пропозицію — кількість місць у ній на момент подачі ще не визначена.</t>
        </is>
      </c>
    </row>
    <row r="26" ht="30" customHeight="1" s="38">
      <c r="A26" s="69" t="inlineStr">
        <is>
          <t>Джерела: Постанова КМУ № 906 від 13.07.2026; МОН, наказ № 863 від 17.06.2025 про критерії розподілу.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4" customWidth="1" style="37" min="1" max="1"/>
    <col width="86" customWidth="1" style="37" min="2" max="2"/>
    <col width="30" customWidth="1" style="37" min="3" max="3"/>
  </cols>
  <sheetData>
    <row r="1" ht="16.15" customHeight="1" s="38">
      <c r="A1" s="39" t="inlineStr">
        <is>
          <t>ДЖЕРЕЛА — усе, звідки взято дані в цьому файлі</t>
        </is>
      </c>
    </row>
    <row r="3" ht="15" customHeight="1" s="38">
      <c r="A3" s="40" t="inlineStr">
        <is>
          <t>Перевірено 25.08.2026. Дані вступної кампанії змінюються щодня — перед подачею звіряйте.</t>
        </is>
      </c>
    </row>
    <row r="5" ht="15" customHeight="1" s="38">
      <c r="A5" s="41" t="inlineStr">
        <is>
          <t>Що саме звідти взято</t>
        </is>
      </c>
      <c r="B5" s="41" t="inlineStr">
        <is>
          <t>Посилання</t>
        </is>
      </c>
      <c r="C5" s="41" t="inlineStr">
        <is>
          <t>Статус</t>
        </is>
      </c>
    </row>
    <row r="6" ht="15" customHeight="1" s="38">
      <c r="A6" s="70" t="inlineStr">
        <is>
          <t>ОФІЦІЙНІ ДОКУМЕНТИ</t>
        </is>
      </c>
      <c r="B6" s="71" t="n"/>
      <c r="C6" s="71" t="n"/>
    </row>
    <row r="7" ht="25.5" customHeight="1" s="38">
      <c r="A7" s="72" t="inlineStr">
        <is>
          <t>Правила прийому до ЛНУ ім. Франка 2026 (повний текст, PDF): формула КБ, умови дистанційного складання, ліміт заяв</t>
        </is>
      </c>
      <c r="B7" s="73" t="inlineStr">
        <is>
          <t>https://admission.lnu.edu.ua/wp-content/uploads/2026/07/PP_2026_n.pdf</t>
        </is>
      </c>
      <c r="C7" s="74" t="inlineStr">
        <is>
          <t>перевірено</t>
        </is>
      </c>
    </row>
    <row r="8" ht="25.5" customHeight="1" s="38">
      <c r="A8" s="72" t="inlineStr">
        <is>
          <t>Правила прийому ЛНУ — головна сторінка з усіма додатками</t>
        </is>
      </c>
      <c r="B8" s="73" t="inlineStr">
        <is>
          <t>https://admission.lnu.edu.ua/guidelines-for-admission/</t>
        </is>
      </c>
      <c r="C8" s="74" t="inlineStr">
        <is>
          <t>перевірено</t>
        </is>
      </c>
    </row>
    <row r="9" ht="25.5" customHeight="1" s="38">
      <c r="A9" s="72" t="inlineStr">
        <is>
          <t>Графік вступних іспитів PhD у Львівській політехніці 2026 (F3 — 09.09.2026, 14:30, І корпус, Старосольських 2/4). Оновлено 06.08.2026</t>
        </is>
      </c>
      <c r="B9" s="73" t="inlineStr">
        <is>
          <t>https://lpnu.ua/sites/default/files/2020/pages/1867/aspiranturagrafik-provedennya-vstupnikh-ispitiv06082026.pdf</t>
        </is>
      </c>
      <c r="C9" s="74" t="inlineStr">
        <is>
          <t>перевірено</t>
        </is>
      </c>
    </row>
    <row r="10" ht="25.5" customHeight="1" s="38">
      <c r="A10" s="72" t="inlineStr">
        <is>
          <t>Сторінка «Обсяги державного замовлення» Львівської політехніки — досі лише файл за 2025 рік (оновлено 11 місяців тому). Пряме підтвердження, що розподіл-2026 ще не опубліковано</t>
        </is>
      </c>
      <c r="B10" s="73" t="inlineStr">
        <is>
          <t>https://lpnu.ua/aspirantam/vstup/obsiagy-derzhavnogo-zamovlennia</t>
        </is>
      </c>
      <c r="C10" s="74" t="inlineStr">
        <is>
          <t>перевірено 25.08.2026</t>
        </is>
      </c>
    </row>
    <row r="11" ht="25.5" customHeight="1" s="38">
      <c r="A11" s="72" t="inlineStr">
        <is>
          <t>Програми вступних іспитів зі спеціальності PhD, Львівська політехніка (затверджені 01.05.2026)</t>
        </is>
      </c>
      <c r="B11" s="73" t="inlineStr">
        <is>
          <t>https://lpnu.ua/aspirantam/vstup/prohramy-vstupnykh-ispytiv-zi-spetsialnosti</t>
        </is>
      </c>
      <c r="C11" s="74" t="inlineStr">
        <is>
          <t>перевірено</t>
        </is>
      </c>
    </row>
    <row r="12" ht="25.5" customHeight="1" s="38">
      <c r="A12" s="72" t="inlineStr">
        <is>
          <t>Розклад вступних іспитів зі спеціальності PhD у ЛНУ (F3 — 19.09.2026, 14:00)</t>
        </is>
      </c>
      <c r="B12" s="73" t="inlineStr">
        <is>
          <t>https://admission.lnu.edu.ua/wp-content/uploads/2026/08/Rozklad-PhD.pdf</t>
        </is>
      </c>
      <c r="C12" s="74" t="inlineStr">
        <is>
          <t>перевірено</t>
        </is>
      </c>
    </row>
    <row r="13" ht="25.5" customHeight="1" s="38">
      <c r="A13" s="72" t="inlineStr">
        <is>
          <t>Етапи вступної кампанії до аспірантури, ЛНУ</t>
        </is>
      </c>
      <c r="B13" s="73" t="inlineStr">
        <is>
          <t>https://admission.lnu.edu.ua/vstupnyku-do-aspirantury/etapy-vstupnoi-kampanii-aspirantura/</t>
        </is>
      </c>
      <c r="C13" s="74" t="inlineStr">
        <is>
          <t>перевірено; частково застарів</t>
        </is>
      </c>
    </row>
    <row r="14" ht="25.5" customHeight="1" s="38">
      <c r="A14" s="72" t="inlineStr">
        <is>
          <t>Програма вступного іспиту 122 Комп'ютерні науки, ЛНУ (версія 2024)</t>
        </is>
      </c>
      <c r="B14" s="73" t="inlineStr">
        <is>
          <t>https://aspirantura.lnu.edu.ua/wp-content/uploads/2024/08/122_Programa_vstupnogo_ispytu_2024.pdf</t>
        </is>
      </c>
      <c r="C14" s="74" t="inlineStr">
        <is>
          <t>перевірено</t>
        </is>
      </c>
    </row>
    <row r="15" ht="25.5" customHeight="1" s="38">
      <c r="A15" s="72" t="inlineStr">
        <is>
          <t>Програми вступних іспитів PhD, ЛНУ — сторінка з переліком</t>
        </is>
      </c>
      <c r="B15" s="73" t="inlineStr">
        <is>
          <t>https://aspirantura.lnu.edu.ua/informatsiia-dlia-vstupnykiv/programs/</t>
        </is>
      </c>
      <c r="C15" s="74" t="inlineStr">
        <is>
          <t>перевірено</t>
        </is>
      </c>
    </row>
    <row r="16" ht="25.5" customHeight="1" s="38">
      <c r="A16" s="72" t="n"/>
      <c r="B16" s="73" t="n"/>
      <c r="C16" s="74" t="n"/>
    </row>
    <row r="17" ht="15" customHeight="1" s="38">
      <c r="A17" s="70" t="inlineStr">
        <is>
          <t>СТРОКИ ТА ЗАГАЛЬНОНАЦІОНАЛЬНІ ПРАВИЛА</t>
        </is>
      </c>
      <c r="B17" s="71" t="n"/>
      <c r="C17" s="71" t="n"/>
    </row>
    <row r="18" ht="25.5" customHeight="1" s="38">
      <c r="A18" s="72" t="inlineStr">
        <is>
          <t>Строки вступу до аспірантури 2026: подача заяв до 18:00 07.09, іспити 8–21.09, рекомендації з 22.09, зарахування до 28.09</t>
        </is>
      </c>
      <c r="B18" s="73" t="inlineStr">
        <is>
          <t>https://osvita.ua/vnz/vstup-do-aspirantury/96812/</t>
        </is>
      </c>
      <c r="C18" s="74" t="inlineStr">
        <is>
          <t>перевірено</t>
        </is>
      </c>
    </row>
    <row r="19" ht="25.5" customHeight="1" s="38">
      <c r="A19" s="72" t="inlineStr">
        <is>
          <t>Додаткова сесія ЄВІ/ЄВВ 24–28 серпня, результати до 4 вересня — УЦОЯО</t>
        </is>
      </c>
      <c r="B19" s="73" t="inlineStr">
        <is>
          <t>https://testportal.gov.ua/dodatkova-sesiya-yevi-yevv-2026/</t>
        </is>
      </c>
      <c r="C19" s="74" t="inlineStr">
        <is>
          <t>перевірено</t>
        </is>
      </c>
    </row>
    <row r="20" ht="25.5" customHeight="1" s="38">
      <c r="A20" s="72" t="inlineStr">
        <is>
          <t>Спецсесії ЄВІ 11–13 вересня; реєстрація була 7–17 серпня; для ЄВВ спецсесій немає</t>
        </is>
      </c>
      <c r="B20" s="73" t="inlineStr">
        <is>
          <t>https://testportal.gov.ua/yevi-2026-spetsialno-organizovani-sesiyi/</t>
        </is>
      </c>
      <c r="C20" s="74" t="inlineStr">
        <is>
          <t>перевірено</t>
        </is>
      </c>
    </row>
    <row r="21" ht="25.5" customHeight="1" s="38">
      <c r="A21" s="72" t="inlineStr">
        <is>
          <t>Формула конкурсного бала для аспірантури: 0,2·П1 + 0,2·П2 + 0,6·П3</t>
        </is>
      </c>
      <c r="B21" s="73" t="inlineStr">
        <is>
          <t>https://www.education.ua/news/2026/02/18/konkursnyi-bal-pry-vstupi-do-aspirantury-u-2026-rotsi/</t>
        </is>
      </c>
      <c r="C21" s="74" t="inlineStr">
        <is>
          <t>перевірено</t>
        </is>
      </c>
    </row>
    <row r="22" ht="25.5" customHeight="1" s="38">
      <c r="A22" s="72" t="inlineStr">
        <is>
          <t>Ліміт заяв: 10 усього, з них 5 на бюджет; денна лише бюджет, контракт лише заочна/вечірня</t>
        </is>
      </c>
      <c r="B22" s="73" t="inlineStr">
        <is>
          <t>https://www.education.ua/vstup/phd-admission/</t>
        </is>
      </c>
      <c r="C22" s="74" t="inlineStr">
        <is>
          <t>перевірено</t>
        </is>
      </c>
    </row>
    <row r="23" ht="25.5" customHeight="1" s="38">
      <c r="A23" s="72" t="inlineStr">
        <is>
          <t>Ліміт 10 заяв єдиний для всієї кампанії, включно з осінньою сесією</t>
        </is>
      </c>
      <c r="B23" s="73" t="inlineStr">
        <is>
          <t>https://www.rbc.ua/rus/news/k-i-skilki-zayav-podavati-abiturientam-shchob-1784048166.html</t>
        </is>
      </c>
      <c r="C23" s="74" t="inlineStr">
        <is>
          <t>перевірено</t>
        </is>
      </c>
    </row>
    <row r="24" ht="25.5" customHeight="1" s="38">
      <c r="A24" s="72" t="n"/>
      <c r="B24" s="73" t="n"/>
      <c r="C24" s="74" t="n"/>
    </row>
    <row r="25" ht="15" customHeight="1" s="38">
      <c r="A25" s="70" t="inlineStr">
        <is>
          <t>БАЛИ ТА ПЕРЕВЕДЕННЯ</t>
        </is>
      </c>
      <c r="B25" s="71" t="n"/>
      <c r="C25" s="71" t="n"/>
    </row>
    <row r="26" ht="25.5" customHeight="1" s="38">
      <c r="A26" s="72" t="inlineStr">
        <is>
          <t>Таблиця переведення тестових балів ТЗНК у шкалу 100–200 (Додаток 5)</t>
        </is>
      </c>
      <c r="B26" s="73" t="inlineStr">
        <is>
          <t>https://osvita.ua/master/master-zno/rozrahunok-bala/74870/</t>
        </is>
      </c>
      <c r="C26" s="74" t="inlineStr">
        <is>
          <t>перевірено</t>
        </is>
      </c>
    </row>
    <row r="27" ht="25.5" customHeight="1" s="38">
      <c r="A27" s="72" t="inlineStr">
        <is>
          <t>Таблиця переведення тестових балів з іноземної мови ЄВІ у шкалу 100–200</t>
        </is>
      </c>
      <c r="B27" s="73" t="inlineStr">
        <is>
          <t>https://osvita.ua/master/master-zno/rozrahunok-bala/74839/</t>
        </is>
      </c>
      <c r="C27" s="74" t="inlineStr">
        <is>
          <t>перевірено</t>
        </is>
      </c>
    </row>
    <row r="28" ht="25.5" customHeight="1" s="38">
      <c r="A28" s="72" t="n"/>
      <c r="B28" s="73" t="n"/>
      <c r="C28" s="74" t="n"/>
    </row>
    <row r="29" ht="15" customHeight="1" s="38">
      <c r="A29" s="70" t="inlineStr">
        <is>
          <t>МІСЦЯ ТА ДЕРЖЗАМОВЛЕННЯ</t>
        </is>
      </c>
      <c r="B29" s="71" t="n"/>
      <c r="C29" s="71" t="n"/>
    </row>
    <row r="30" ht="25.5" customHeight="1" s="38">
      <c r="A30" s="72" t="inlineStr">
        <is>
          <t>Розподіл бюджетних місць в аспірантуру 2026 за галузями: усього 6 073, IT — 769</t>
        </is>
      </c>
      <c r="B30" s="73" t="inlineStr">
        <is>
          <t>https://www.education.ua/news/2026/07/15/skilky-biudzhetnykh-mists-dlia-vstupnykiv-do-aspirantury-2026/</t>
        </is>
      </c>
      <c r="C30" s="74" t="inlineStr">
        <is>
          <t>перевірено</t>
        </is>
      </c>
    </row>
    <row r="31" ht="25.5" customHeight="1" s="38">
      <c r="A31" s="72" t="inlineStr">
        <is>
          <t>Торік розподіл між ЗВО відбувся лише 15 вересня; понад 20 тис. зареєстрованих на іспити</t>
        </is>
      </c>
      <c r="B31" s="73" t="inlineStr">
        <is>
          <t>https://fakty.com.ua/ua/ukraine/20260702-kilkist-byudzhetnyh-mists-na-aspiranturu-shho-vidomo-pro-derzhzamovlennya-u-2026-rotsi/</t>
        </is>
      </c>
      <c r="C31" s="74" t="inlineStr">
        <is>
          <t>перевірено</t>
        </is>
      </c>
    </row>
    <row r="32" ht="25.5" customHeight="1" s="38">
      <c r="A32" s="72" t="inlineStr">
        <is>
          <t>Формульний розподіл місць в аспірантуру, критерії (наказ МОН № 863 від 17.06.2025)</t>
        </is>
      </c>
      <c r="B32" s="73" t="inlineStr">
        <is>
          <t>https://mon.gov.ua/news/mon-vpershe-zaprovadzheno-formulnyi-rozpodil-mists-v-aspiranturu</t>
        </is>
      </c>
      <c r="C32" s="74" t="inlineStr">
        <is>
          <t>перевірено</t>
        </is>
      </c>
    </row>
    <row r="33" ht="25.5" customHeight="1" s="38">
      <c r="A33" s="72" t="n"/>
      <c r="B33" s="73" t="n"/>
      <c r="C33" s="74" t="n"/>
    </row>
    <row r="34" ht="15" customHeight="1" s="38">
      <c r="A34" s="70" t="inlineStr">
        <is>
          <t>ДАНІ ПО ПРОПОЗИЦІЯХ (звідки всі 66 рядків)</t>
        </is>
      </c>
      <c r="B34" s="71" t="n"/>
      <c r="C34" s="71" t="n"/>
    </row>
    <row r="35" ht="25.5" customHeight="1" s="38">
      <c r="A35" s="72" t="inlineStr">
        <is>
          <t>ІС «Вступ.ОСВІТА.UA» — усі пропозиції PhD F3 Комп'ютерні науки, денна форма, сторінка 1</t>
        </is>
      </c>
      <c r="B35" s="73" t="inlineStr">
        <is>
          <t>https://vstup.osvita.ua/spec/7-640-1/0-0-2548-0-0-0/</t>
        </is>
      </c>
      <c r="C35" s="74" t="inlineStr">
        <is>
          <t>оновлено 26.08.2026</t>
        </is>
      </c>
    </row>
    <row r="36" ht="25.5" customHeight="1" s="38">
      <c r="A36" s="72" t="inlineStr">
        <is>
          <t>Те саме, сторінка 2</t>
        </is>
      </c>
      <c r="B36" s="73" t="inlineStr">
        <is>
          <t>https://vstup.osvita.ua/spec/7-640-1/0-0-2548-0-0-50/</t>
        </is>
      </c>
      <c r="C36" s="74" t="inlineStr">
        <is>
          <t>перевірено 25.08.2026</t>
        </is>
      </c>
    </row>
    <row r="37" ht="25.5" customHeight="1" s="38">
      <c r="A37" s="72" t="inlineStr">
        <is>
          <t>Приклад сторінки 2025 року, де ВИДНО обсяг держзамовлення (СумДУ: ЛО 20, ДЗ 20, заяв 40)</t>
        </is>
      </c>
      <c r="B37" s="73" t="inlineStr">
        <is>
          <t>https://vstup.osvita.ua/y2025/r19/168/1476693/</t>
        </is>
      </c>
      <c r="C37" s="74" t="inlineStr">
        <is>
          <t>перевірено</t>
        </is>
      </c>
    </row>
    <row r="38" ht="25.5" customHeight="1" s="38">
      <c r="A38" s="72" t="n"/>
      <c r="B38" s="73" t="n"/>
      <c r="C38" s="74" t="n"/>
    </row>
    <row r="39" ht="15" customHeight="1" s="38">
      <c r="A39" s="70" t="inlineStr">
        <is>
          <t>ВІДСТРОЧКА</t>
        </is>
      </c>
      <c r="B39" s="71" t="n"/>
      <c r="C39" s="71" t="n"/>
    </row>
    <row r="40" ht="25.5" customHeight="1" s="38">
      <c r="A40" s="72" t="inlineStr">
        <is>
          <t>Відстрочка для аспірантів 2026: денна або дуальна форма, статус підтверджується в ЄДЕБО</t>
        </is>
      </c>
      <c r="B40" s="73" t="inlineStr">
        <is>
          <t>https://tsn.ua/exclusive/vidstrochka-vid-mobilizatsiyi-dlia-studentiv-u-2026-rotsi-khto-maye-pravo-iak-oformyty-ta-koly-yiyi-mozut-skasuvaty-3151295.html</t>
        </is>
      </c>
      <c r="C40" s="74" t="inlineStr">
        <is>
          <t>перевірено</t>
        </is>
      </c>
    </row>
    <row r="41" ht="25.5" customHeight="1" s="38">
      <c r="A41" s="72" t="inlineStr">
        <is>
          <t>Оформлення через «Резерв+» або ЦНАП; ТЦК заяви напряму більше не приймають</t>
        </is>
      </c>
      <c r="B41" s="73" t="inlineStr">
        <is>
          <t>https://tehnofan.com.ua/2026/08/18/vidstrochka-dlya-studentiv-ta-aspirantiv-z-1-veresnya-diyatymut%CA%B9-novi-pravyla/</t>
        </is>
      </c>
      <c r="C41" s="74" t="inlineStr">
        <is>
          <t>перевірено</t>
        </is>
      </c>
    </row>
    <row r="42" ht="25.5" customHeight="1" s="38">
      <c r="A42" s="72" t="n"/>
      <c r="B42" s="73" t="n"/>
      <c r="C42" s="74" t="n"/>
    </row>
    <row r="43" ht="15" customHeight="1" s="38">
      <c r="A43" s="70" t="inlineStr">
        <is>
          <t>ЩО ЗНАЙТИ НЕ ВДАЛОСЯ</t>
        </is>
      </c>
      <c r="B43" s="71" t="n"/>
      <c r="C43" s="71" t="n"/>
    </row>
    <row r="44" ht="25.5" customHeight="1" s="38">
      <c r="A44" s="72" t="inlineStr">
        <is>
          <t>Розклади вступних іспитів PhD на 2026 рік по інших ЗВО. Станом на 25.08.2026 більшість ще не опублікована — іспити 8–21 вересня, розклади зазвичай виходять за тиждень-два. Приклад: у Каразінського в мережі лежить лише розклад 2025 року. Знайдено і заповнено 2 з 66: ЛНУ ім. Франка та Львівська політехніка.</t>
        </is>
      </c>
      <c r="B44" s="73" t="inlineStr">
        <is>
          <t>https://karazin.ua/universitet/structure/strukturni-pidrozdily/viddil-aspirantury-ta-doktorantury/</t>
        </is>
      </c>
      <c r="C44" s="74" t="inlineStr">
        <is>
          <t>чекати оновлення</t>
        </is>
      </c>
    </row>
    <row r="45" ht="25.5" customHeight="1" s="38">
      <c r="A45" s="72" t="inlineStr">
        <is>
          <t>Обсяг держзамовлення на 2026 у розрізі ЗВО — не опубліковано, очікується ~середина вересня</t>
        </is>
      </c>
      <c r="B45" s="73" t="n"/>
      <c r="C45" s="74" t="inlineStr">
        <is>
          <t>недоступно</t>
        </is>
      </c>
    </row>
    <row r="46" ht="25.5" customHeight="1" s="38">
      <c r="A46" s="72" t="inlineStr">
        <is>
          <t>Формат відвідування (дистанційно / очно) — ніде централізовано не публікується, тільки запит до відділу аспірантури кожного ЗВО</t>
        </is>
      </c>
      <c r="B46" s="73" t="n"/>
      <c r="C46" s="74" t="inlineStr">
        <is>
          <t>тільки запит</t>
        </is>
      </c>
    </row>
  </sheetData>
  <hyperlinks>
    <hyperlink xmlns:r="http://schemas.openxmlformats.org/officeDocument/2006/relationships" ref="B7" display="https://admission.lnu.edu.ua/wp-content/uploads/2026/07/PP_2026_n.pdf" r:id="rId1"/>
    <hyperlink xmlns:r="http://schemas.openxmlformats.org/officeDocument/2006/relationships" ref="B8" display="https://admission.lnu.edu.ua/guidelines-for-admission/" r:id="rId2"/>
    <hyperlink xmlns:r="http://schemas.openxmlformats.org/officeDocument/2006/relationships" ref="B9" display="https://lpnu.ua/sites/default/files/2020/pages/1867/aspiranturagrafik-provedennya-vstupnikh-ispitiv06082026.pdf" r:id="rId3"/>
    <hyperlink xmlns:r="http://schemas.openxmlformats.org/officeDocument/2006/relationships" ref="B10" display="https://lpnu.ua/aspirantam/vstup/obsiagy-derzhavnogo-zamovlennia" r:id="rId4"/>
    <hyperlink xmlns:r="http://schemas.openxmlformats.org/officeDocument/2006/relationships" ref="B11" display="https://lpnu.ua/aspirantam/vstup/prohramy-vstupnykh-ispytiv-zi-spetsialnosti" r:id="rId5"/>
    <hyperlink xmlns:r="http://schemas.openxmlformats.org/officeDocument/2006/relationships" ref="B12" display="https://admission.lnu.edu.ua/wp-content/uploads/2026/08/Rozklad-PhD.pdf" r:id="rId6"/>
    <hyperlink xmlns:r="http://schemas.openxmlformats.org/officeDocument/2006/relationships" ref="B13" display="https://admission.lnu.edu.ua/vstupnyku-do-aspirantury/etapy-vstupnoi-kampanii-aspirantura/" r:id="rId7"/>
    <hyperlink xmlns:r="http://schemas.openxmlformats.org/officeDocument/2006/relationships" ref="B14" display="https://aspirantura.lnu.edu.ua/wp-content/uploads/2024/08/122_Programa_vstupnogo_ispytu_2024.pdf" r:id="rId8"/>
    <hyperlink xmlns:r="http://schemas.openxmlformats.org/officeDocument/2006/relationships" ref="B15" display="https://aspirantura.lnu.edu.ua/informatsiia-dlia-vstupnykiv/programs/" r:id="rId9"/>
    <hyperlink xmlns:r="http://schemas.openxmlformats.org/officeDocument/2006/relationships" ref="B18" display="https://osvita.ua/vnz/vstup-do-aspirantury/96812/" r:id="rId10"/>
    <hyperlink xmlns:r="http://schemas.openxmlformats.org/officeDocument/2006/relationships" ref="B19" display="https://testportal.gov.ua/dodatkova-sesiya-yevi-yevv-2026/" r:id="rId11"/>
    <hyperlink xmlns:r="http://schemas.openxmlformats.org/officeDocument/2006/relationships" ref="B20" display="https://testportal.gov.ua/yevi-2026-spetsialno-organizovani-sesiyi/" r:id="rId12"/>
    <hyperlink xmlns:r="http://schemas.openxmlformats.org/officeDocument/2006/relationships" ref="B21" display="https://www.education.ua/news/2026/02/18/konkursnyi-bal-pry-vstupi-do-aspirantury-u-2026-rotsi/" r:id="rId13"/>
    <hyperlink xmlns:r="http://schemas.openxmlformats.org/officeDocument/2006/relationships" ref="B22" display="https://www.education.ua/vstup/phd-admission/" r:id="rId14"/>
    <hyperlink xmlns:r="http://schemas.openxmlformats.org/officeDocument/2006/relationships" ref="B23" display="https://www.rbc.ua/rus/news/k-i-skilki-zayav-podavati-abiturientam-shchob-1784048166.html" r:id="rId15"/>
    <hyperlink xmlns:r="http://schemas.openxmlformats.org/officeDocument/2006/relationships" ref="B26" display="https://osvita.ua/master/master-zno/rozrahunok-bala/74870/" r:id="rId16"/>
    <hyperlink xmlns:r="http://schemas.openxmlformats.org/officeDocument/2006/relationships" ref="B27" display="https://osvita.ua/master/master-zno/rozrahunok-bala/74839/" r:id="rId17"/>
    <hyperlink xmlns:r="http://schemas.openxmlformats.org/officeDocument/2006/relationships" ref="B30" display="https://www.education.ua/news/2026/07/15/skilky-biudzhetnykh-mists-dlia-vstupnykiv-do-aspirantury-2026/" r:id="rId18"/>
    <hyperlink xmlns:r="http://schemas.openxmlformats.org/officeDocument/2006/relationships" ref="B31" display="https://fakty.com.ua/ua/ukraine/20260702-kilkist-byudzhetnyh-mists-na-aspiranturu-shho-vidomo-pro-derzhzamovlennya-u-2026-rotsi/" r:id="rId19"/>
    <hyperlink xmlns:r="http://schemas.openxmlformats.org/officeDocument/2006/relationships" ref="B32" display="https://mon.gov.ua/news/mon-vpershe-zaprovadzheno-formulnyi-rozpodil-mists-v-aspiranturu" r:id="rId20"/>
    <hyperlink xmlns:r="http://schemas.openxmlformats.org/officeDocument/2006/relationships" ref="B35" display="https://vstup.osvita.ua/spec/7-640-1/0-0-2548-0-0-0/" r:id="rId21"/>
    <hyperlink xmlns:r="http://schemas.openxmlformats.org/officeDocument/2006/relationships" ref="B36" display="https://vstup.osvita.ua/spec/7-640-1/0-0-2548-0-0-50/" r:id="rId22"/>
    <hyperlink xmlns:r="http://schemas.openxmlformats.org/officeDocument/2006/relationships" ref="B37" display="https://vstup.osvita.ua/y2025/r19/168/1476693/" r:id="rId23"/>
    <hyperlink xmlns:r="http://schemas.openxmlformats.org/officeDocument/2006/relationships" ref="B40" display="https://tsn.ua/exclusive/vidstrochka-vid-mobilizatsiyi-dlia-studentiv-u-2026-rotsi-khto-maye-pravo-iak-oformyty-ta-koly-yiyi-mozut-skasuvaty-3151295.html" r:id="rId24"/>
    <hyperlink xmlns:r="http://schemas.openxmlformats.org/officeDocument/2006/relationships" ref="B41" display="https://tehnofan.com.ua/2026/08/18/vidstrochka-dlya-studentiv-ta-aspirantiv-z-1-veresnya-diyatymut%CA%B9-novi-pravyla/" r:id="rId25"/>
    <hyperlink xmlns:r="http://schemas.openxmlformats.org/officeDocument/2006/relationships" ref="B44" display="https://karazin.ua/universitet/structure/strukturni-pidrozdily/viddil-aspirantury-ta-doktorantury/" r:id="rId2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78" customWidth="1" style="38" min="1" max="1"/>
    <col width="10" customWidth="1" style="38" min="2" max="2"/>
  </cols>
  <sheetData>
    <row r="1">
      <c r="A1" s="77" t="inlineStr">
        <is>
          <t>ФАКТИЧНИЙ РОЗПОДІЛ ДЕРЖЗАМОВЛЕННЯ В АСПІРАНТУРУ, 2024</t>
        </is>
      </c>
    </row>
    <row r="2">
      <c r="A2" s="37" t="inlineStr">
        <is>
          <t>Джерело: Додаток 2 до протоколу № 1 засідання конкурсної комісії МОН (mon.gov.ua), знімок archive.org від 27.04.2025.</t>
        </is>
      </c>
    </row>
    <row r="3">
      <c r="A3" s="37" t="inlineStr">
        <is>
          <t>ЦЕ ЄДИНИЙ РІК, за який вдалося дістати розподіл ПО ВИШАХ. Аналогічні документи за 2022, 2023 і 2025 у відкритому доступі не знайдено.</t>
        </is>
      </c>
    </row>
    <row r="4">
      <c r="A4" s="37" t="inlineStr">
        <is>
          <t>УВАГА: 2024 рахувався за СТАРИМ класифікатором (галузі 12, 14, 17) і БЕЗ формули — рішення ухвалювались вручну.</t>
        </is>
      </c>
    </row>
    <row r="5">
      <c r="A5" s="37" t="inlineStr">
        <is>
          <t>Формульний розподіл діє лише з 2025 (наказ МОН № 863 від 17.06.2025), тому 2024 — орієнтир про масштаб, а не прогноз.</t>
        </is>
      </c>
    </row>
    <row r="7">
      <c r="A7" s="77" t="inlineStr">
        <is>
          <t>ЗАПОРІЗЬКА ПОЛІТЕХНІКА — усе, що отримала у 2024</t>
        </is>
      </c>
    </row>
    <row r="8">
      <c r="A8" s="78" t="inlineStr">
        <is>
          <t>Галузь</t>
        </is>
      </c>
      <c r="B8" s="78" t="inlineStr">
        <is>
          <t>Місць</t>
        </is>
      </c>
    </row>
    <row r="9">
      <c r="A9" s="37" t="inlineStr">
        <is>
          <t>13 Механічна інженерія</t>
        </is>
      </c>
      <c r="B9" s="37" t="n">
        <v>13</v>
      </c>
    </row>
    <row r="10">
      <c r="A10" s="37" t="inlineStr">
        <is>
          <t>14 Електрична інженерія</t>
        </is>
      </c>
      <c r="B10" s="37" t="n">
        <v>8</v>
      </c>
    </row>
    <row r="11">
      <c r="A11" s="37" t="inlineStr">
        <is>
          <t>12 Інформаційні технології</t>
        </is>
      </c>
      <c r="B11" s="37" t="n">
        <v>6</v>
      </c>
    </row>
    <row r="12">
      <c r="A12" s="37" t="inlineStr">
        <is>
          <t>05 Соціальні та поведінкові науки</t>
        </is>
      </c>
      <c r="B12" s="37" t="n">
        <v>4</v>
      </c>
    </row>
    <row r="13">
      <c r="A13" s="37" t="inlineStr">
        <is>
          <t>07 Управління та адміністрування</t>
        </is>
      </c>
      <c r="B13" s="37" t="n">
        <v>3</v>
      </c>
    </row>
    <row r="14">
      <c r="A14" s="37" t="inlineStr">
        <is>
          <t>19 Архітектора та будівництво</t>
        </is>
      </c>
      <c r="B14" s="37" t="n">
        <v>3</v>
      </c>
    </row>
    <row r="15">
      <c r="A15" s="37" t="inlineStr">
        <is>
          <t>08 Право</t>
        </is>
      </c>
      <c r="B15" s="37" t="n">
        <v>2</v>
      </c>
    </row>
    <row r="16">
      <c r="A16" s="37" t="inlineStr">
        <is>
          <t>23 Соціальна робота</t>
        </is>
      </c>
      <c r="B16" s="37" t="n">
        <v>2</v>
      </c>
    </row>
    <row r="17">
      <c r="A17" s="77" t="inlineStr">
        <is>
          <t>РАЗОМ по вишу</t>
        </is>
      </c>
      <c r="B17" s="77" t="n">
        <v>41</v>
      </c>
    </row>
    <row r="18">
      <c r="A18" s="77" t="inlineStr">
        <is>
          <t>Галузь 17 «Електроніка, автоматизація та електронні комунікації» — 0 місць, вишу в переліку НЕМАЄ.</t>
        </is>
      </c>
    </row>
    <row r="20">
      <c r="A20" s="77" t="inlineStr">
        <is>
          <t>ГАЛУЗЬ 12 ІНФОРМАЦІЙНІ ТЕХНОЛОГІЇ — усього 619 місць, 56 ЗВО</t>
        </is>
      </c>
    </row>
    <row r="21">
      <c r="A21" s="78" t="inlineStr">
        <is>
          <t>ЗВО</t>
        </is>
      </c>
      <c r="B21" s="78" t="inlineStr">
        <is>
          <t>Місць</t>
        </is>
      </c>
    </row>
    <row r="22">
      <c r="A22" s="37" t="inlineStr">
        <is>
          <t>Харківський національний університет радіоелектроніки</t>
        </is>
      </c>
      <c r="B22" s="37" t="n">
        <v>69</v>
      </c>
    </row>
    <row r="23">
      <c r="A23" s="37" t="inlineStr">
        <is>
          <t>Національний технічний університет України «Київський політехнічний інститут імені Ігоря Сікорського»</t>
        </is>
      </c>
      <c r="B23" s="37" t="n">
        <v>63</v>
      </c>
    </row>
    <row r="24">
      <c r="A24" s="37" t="inlineStr">
        <is>
          <t>Національний університет «Львівська політехніка»</t>
        </is>
      </c>
      <c r="B24" s="37" t="n">
        <v>59</v>
      </c>
    </row>
    <row r="25">
      <c r="A25" s="37" t="inlineStr">
        <is>
          <t>Київський національний університет імені Тараса Шевченка</t>
        </is>
      </c>
      <c r="B25" s="37" t="n">
        <v>51</v>
      </c>
    </row>
    <row r="26">
      <c r="A26" s="37" t="inlineStr">
        <is>
          <t>Національний технічний університет «Харківський політехнічний інститут»</t>
        </is>
      </c>
      <c r="B26" s="37" t="n">
        <v>45</v>
      </c>
    </row>
    <row r="27">
      <c r="A27" s="37" t="inlineStr">
        <is>
          <t>Національний авіаційний університет</t>
        </is>
      </c>
      <c r="B27" s="37" t="n">
        <v>21</v>
      </c>
    </row>
    <row r="28">
      <c r="A28" s="37" t="inlineStr">
        <is>
          <t>Державний університет інформаційно-комунікаційних технологій</t>
        </is>
      </c>
      <c r="B28" s="37" t="n">
        <v>20</v>
      </c>
    </row>
    <row r="29">
      <c r="A29" s="37" t="inlineStr">
        <is>
          <t>Вінницький національний технічний університет</t>
        </is>
      </c>
      <c r="B29" s="37" t="n">
        <v>19</v>
      </c>
    </row>
    <row r="30">
      <c r="A30" s="37" t="inlineStr">
        <is>
          <t>Львівський національний університет імені Івана Франка</t>
        </is>
      </c>
      <c r="B30" s="37" t="n">
        <v>19</v>
      </c>
    </row>
    <row r="31">
      <c r="A31" s="37" t="inlineStr">
        <is>
          <t>Національний аерокосмічний університет ім. М. Є. Жуковського «Харківський авіаційний інститут»</t>
        </is>
      </c>
      <c r="B31" s="37" t="n">
        <v>19</v>
      </c>
    </row>
    <row r="32">
      <c r="A32" s="37" t="inlineStr">
        <is>
          <t>Національний університет «Одеська політехніка»</t>
        </is>
      </c>
      <c r="B32" s="37" t="n">
        <v>15</v>
      </c>
    </row>
    <row r="33">
      <c r="A33" s="37" t="inlineStr">
        <is>
          <t>Національний університет біоресурсів і природокористування України</t>
        </is>
      </c>
      <c r="B33" s="37" t="n">
        <v>15</v>
      </c>
    </row>
    <row r="34">
      <c r="A34" s="37" t="inlineStr">
        <is>
          <t>Національний технічний університет «Дніпровська політехніка»</t>
        </is>
      </c>
      <c r="B34" s="37" t="n">
        <v>12</v>
      </c>
    </row>
    <row r="35">
      <c r="A35" s="37" t="inlineStr">
        <is>
          <t>Сумський державний університет</t>
        </is>
      </c>
      <c r="B35" s="37" t="n">
        <v>12</v>
      </c>
    </row>
    <row r="36">
      <c r="A36" s="37" t="inlineStr">
        <is>
          <t>Черкаський державний технологічний університет</t>
        </is>
      </c>
      <c r="B36" s="37" t="n">
        <v>10</v>
      </c>
    </row>
    <row r="37">
      <c r="A37" s="37" t="inlineStr">
        <is>
          <t>Державний торговельно-економічний університет</t>
        </is>
      </c>
      <c r="B37" s="37" t="n">
        <v>9</v>
      </c>
    </row>
    <row r="38">
      <c r="A38" s="37" t="inlineStr">
        <is>
          <t>Західноукраїнський національний університет</t>
        </is>
      </c>
      <c r="B38" s="37" t="n">
        <v>9</v>
      </c>
    </row>
    <row r="39">
      <c r="A39" s="37" t="inlineStr">
        <is>
          <t>Тернопільський національний технічний університет імені Івана Пулюя</t>
        </is>
      </c>
      <c r="B39" s="37" t="n">
        <v>9</v>
      </c>
    </row>
    <row r="40">
      <c r="A40" s="37" t="inlineStr">
        <is>
          <t>Харківський національний університет імені В.Н. Каразіна</t>
        </is>
      </c>
      <c r="B40" s="37" t="n">
        <v>9</v>
      </c>
    </row>
    <row r="41">
      <c r="A41" s="37" t="inlineStr">
        <is>
          <t>Дніпровський національний університет імені Олеся Гончара</t>
        </is>
      </c>
      <c r="B41" s="37" t="n">
        <v>8</v>
      </c>
    </row>
    <row r="42">
      <c r="A42" s="37" t="inlineStr">
        <is>
          <t>Хмельницький національний університет</t>
        </is>
      </c>
      <c r="B42" s="37" t="n">
        <v>8</v>
      </c>
    </row>
    <row r="43">
      <c r="A43" s="37" t="inlineStr">
        <is>
          <t>Національний університет «Києво-Могилянська академія»</t>
        </is>
      </c>
      <c r="B43" s="37" t="n">
        <v>7</v>
      </c>
    </row>
    <row r="44">
      <c r="A44" s="37" t="inlineStr">
        <is>
          <t>Державний університет «Житомирська політехніка»</t>
        </is>
      </c>
      <c r="B44" s="37" t="n">
        <v>6</v>
      </c>
    </row>
    <row r="45">
      <c r="A45" s="37" t="inlineStr">
        <is>
          <t>Національний університет «Запорізька політехніка»</t>
        </is>
      </c>
      <c r="B45" s="37" t="n">
        <v>6</v>
      </c>
    </row>
    <row r="46">
      <c r="A46" s="37" t="inlineStr">
        <is>
          <t>Український державний університет науки і технологій</t>
        </is>
      </c>
      <c r="B46" s="37" t="n">
        <v>6</v>
      </c>
    </row>
    <row r="47">
      <c r="A47" s="37" t="inlineStr">
        <is>
          <t>Державний вищий навчальний заклад «Ужгородський національний університет»</t>
        </is>
      </c>
      <c r="B47" s="37" t="n">
        <v>5</v>
      </c>
    </row>
    <row r="48">
      <c r="A48" s="37" t="inlineStr">
        <is>
          <t>Національний університет водного господарства та природокористування</t>
        </is>
      </c>
      <c r="B48" s="37" t="n">
        <v>5</v>
      </c>
    </row>
    <row r="49">
      <c r="A49" s="37" t="inlineStr">
        <is>
          <t>Національний університет кораблебудування імені адмірала Макарова</t>
        </is>
      </c>
      <c r="B49" s="37" t="n">
        <v>5</v>
      </c>
    </row>
    <row r="50">
      <c r="A50" s="37" t="inlineStr">
        <is>
          <t>Одеський національний університет імені І. І. Мечникова</t>
        </is>
      </c>
      <c r="B50" s="37" t="n">
        <v>5</v>
      </c>
    </row>
    <row r="51">
      <c r="A51" s="37" t="inlineStr">
        <is>
          <t>16 Херсонський національний технічний університет</t>
        </is>
      </c>
      <c r="B51" s="37" t="n">
        <v>5</v>
      </c>
    </row>
    <row r="52">
      <c r="A52" s="37" t="inlineStr">
        <is>
          <t>Запорізький національний університет</t>
        </is>
      </c>
      <c r="B52" s="37" t="n">
        <v>4</v>
      </c>
    </row>
    <row r="53">
      <c r="A53" s="37" t="inlineStr">
        <is>
          <t>Київський національний університет будівництва і архітектури</t>
        </is>
      </c>
      <c r="B53" s="37" t="n">
        <v>4</v>
      </c>
    </row>
    <row r="54">
      <c r="A54" s="37" t="inlineStr">
        <is>
          <t>Луцький національний технічний університет</t>
        </is>
      </c>
      <c r="B54" s="37" t="n">
        <v>4</v>
      </c>
    </row>
    <row r="55">
      <c r="A55" s="37" t="inlineStr">
        <is>
          <t>Національний транспортний університет</t>
        </is>
      </c>
      <c r="B55" s="37" t="n">
        <v>4</v>
      </c>
    </row>
    <row r="56">
      <c r="A56" s="37" t="inlineStr">
        <is>
          <t>Національний університет «Чернігівська політехніка»</t>
        </is>
      </c>
      <c r="B56" s="37" t="n">
        <v>4</v>
      </c>
    </row>
    <row r="57">
      <c r="A57" s="37" t="inlineStr">
        <is>
          <t>Харківський національний економічний університет імені Семена Кузнеця</t>
        </is>
      </c>
      <c r="B57" s="37" t="n">
        <v>4</v>
      </c>
    </row>
    <row r="58">
      <c r="A58" s="37" t="inlineStr">
        <is>
          <t>Державний університет інтелектуальних технологій і зв'язку</t>
        </is>
      </c>
      <c r="B58" s="37" t="n">
        <v>3</v>
      </c>
    </row>
    <row r="59">
      <c r="A59" s="37" t="inlineStr">
        <is>
          <t>15 Міжнародний гуманітарний університет</t>
        </is>
      </c>
      <c r="B59" s="37" t="n">
        <v>3</v>
      </c>
    </row>
    <row r="60">
      <c r="A60" s="37" t="inlineStr">
        <is>
          <t>Національний університет «Одеська юридична академія»</t>
        </is>
      </c>
      <c r="B60" s="37" t="n">
        <v>3</v>
      </c>
    </row>
    <row r="61">
      <c r="A61" s="37" t="inlineStr">
        <is>
          <t>Харківський національний університет міського господарства імені О.М. Бекетова</t>
        </is>
      </c>
      <c r="B61" s="37" t="n">
        <v>3</v>
      </c>
    </row>
    <row r="62">
      <c r="A62" s="37" t="inlineStr">
        <is>
          <t>Державний вищий навчальний заклад «Донецький національний технічний університет»</t>
        </is>
      </c>
      <c r="B62" s="37" t="n">
        <v>2</v>
      </c>
    </row>
    <row r="63">
      <c r="A63" s="37" t="inlineStr">
        <is>
          <t>Державний університет інфраструктури та технологій</t>
        </is>
      </c>
      <c r="B63" s="37" t="n">
        <v>2</v>
      </c>
    </row>
    <row r="64">
      <c r="A64" s="37" t="inlineStr">
        <is>
          <t>Житомирський державний університет імені Івана Франка</t>
        </is>
      </c>
      <c r="B64" s="37" t="n">
        <v>2</v>
      </c>
    </row>
    <row r="65">
      <c r="A65" s="37" t="inlineStr">
        <is>
          <t>Київський національний університет технологій та дизайну</t>
        </is>
      </c>
      <c r="B65" s="37" t="n">
        <v>2</v>
      </c>
    </row>
    <row r="66">
      <c r="A66" s="37" t="inlineStr">
        <is>
          <t>Кременчуцький національний університет імені Михайла Остроградського</t>
        </is>
      </c>
      <c r="B66" s="37" t="n">
        <v>2</v>
      </c>
    </row>
    <row r="67">
      <c r="A67" s="37" t="inlineStr">
        <is>
          <t>Національний лісотехнічний університет України</t>
        </is>
      </c>
      <c r="B67" s="37" t="n">
        <v>2</v>
      </c>
    </row>
    <row r="68">
      <c r="A68" s="37" t="inlineStr">
        <is>
          <t>Національний університет «Полтавська політехніка імені Юрія Кондратюка»</t>
        </is>
      </c>
      <c r="B68" s="37" t="n">
        <v>2</v>
      </c>
    </row>
    <row r="69">
      <c r="A69" s="37" t="inlineStr">
        <is>
          <t>Національний університет харчових технологій</t>
        </is>
      </c>
      <c r="B69" s="37" t="n">
        <v>2</v>
      </c>
    </row>
    <row r="70">
      <c r="A70" s="37" t="inlineStr">
        <is>
          <t>Одеський національний морський університет</t>
        </is>
      </c>
      <c r="B70" s="37" t="n">
        <v>2</v>
      </c>
    </row>
    <row r="71">
      <c r="A71" s="37" t="inlineStr">
        <is>
          <t>Приватна установа «Університет «Київська школа економіки»</t>
        </is>
      </c>
      <c r="B71" s="37" t="n">
        <v>2</v>
      </c>
    </row>
    <row r="72">
      <c r="A72" s="37" t="inlineStr">
        <is>
          <t>Східноукраїнський національний університет імені Володимира Даля</t>
        </is>
      </c>
      <c r="B72" s="37" t="n">
        <v>2</v>
      </c>
    </row>
    <row r="73">
      <c r="A73" s="37" t="inlineStr">
        <is>
          <t>Український державний університет залізничного транспорту</t>
        </is>
      </c>
      <c r="B73" s="37" t="n">
        <v>2</v>
      </c>
    </row>
    <row r="74">
      <c r="A74" s="37" t="inlineStr">
        <is>
          <t>Харківський національний автомобільно-дорожній університет</t>
        </is>
      </c>
      <c r="B74" s="37" t="n">
        <v>2</v>
      </c>
    </row>
    <row r="75">
      <c r="A75" s="37" t="inlineStr">
        <is>
          <t>Херсонський державний університет</t>
        </is>
      </c>
      <c r="B75" s="37" t="n">
        <v>2</v>
      </c>
    </row>
    <row r="76">
      <c r="A76" s="37" t="inlineStr">
        <is>
          <t>Черкаський національний університет імені Богдана Хмельницького</t>
        </is>
      </c>
      <c r="B76" s="37" t="n">
        <v>2</v>
      </c>
    </row>
    <row r="77">
      <c r="A77" s="37" t="inlineStr">
        <is>
          <t>Чорноморський національний університет імені Петра Могили</t>
        </is>
      </c>
      <c r="B77" s="37" t="n">
        <v>2</v>
      </c>
    </row>
    <row r="79">
      <c r="A79" s="77" t="inlineStr">
        <is>
          <t>ГАЛУЗЬ 17 ЕЛЕКТРОНІКА, АВТОМАТИЗАЦІЯ ТА ЕЛЕКТРОННІ КОМУНІКАЦІЇ — усього 259 місць, 30 ЗВО</t>
        </is>
      </c>
    </row>
    <row r="80">
      <c r="A80" s="78" t="inlineStr">
        <is>
          <t>ЗВО</t>
        </is>
      </c>
      <c r="B80" s="78" t="inlineStr">
        <is>
          <t>Місць</t>
        </is>
      </c>
    </row>
    <row r="81">
      <c r="A81" s="37" t="inlineStr">
        <is>
          <t>Національний технічний університет України «Київський політехнічний інститут імені Ігоря Сікорського»</t>
        </is>
      </c>
      <c r="B81" s="37" t="n">
        <v>62</v>
      </c>
    </row>
    <row r="82">
      <c r="A82" s="37" t="inlineStr">
        <is>
          <t>Національний університет «Львівська політехніка»</t>
        </is>
      </c>
      <c r="B82" s="37" t="n">
        <v>39</v>
      </c>
    </row>
    <row r="83">
      <c r="A83" s="37" t="inlineStr">
        <is>
          <t>Харківський національний університет радіоелектроніки</t>
        </is>
      </c>
      <c r="B83" s="37" t="n">
        <v>23</v>
      </c>
    </row>
    <row r="84">
      <c r="A84" s="37" t="inlineStr">
        <is>
          <t>Національний технічний університет «Харківський політехнічний інститут»</t>
        </is>
      </c>
      <c r="B84" s="37" t="n">
        <v>15</v>
      </c>
    </row>
    <row r="85">
      <c r="A85" s="37" t="inlineStr">
        <is>
          <t>Національний авіаційний університет</t>
        </is>
      </c>
      <c r="B85" s="37" t="n">
        <v>12</v>
      </c>
    </row>
    <row r="86">
      <c r="A86" s="37" t="inlineStr">
        <is>
          <t>Національний аерокосмічний університет ім. М. Є. Жуковського «Харківський авіаційний інститут»</t>
        </is>
      </c>
      <c r="B86" s="37" t="n">
        <v>12</v>
      </c>
    </row>
    <row r="87">
      <c r="A87" s="37" t="inlineStr">
        <is>
          <t>Івано-Франківський національний технічний університет нафти і газу</t>
        </is>
      </c>
      <c r="B87" s="37" t="n">
        <v>8</v>
      </c>
    </row>
    <row r="88">
      <c r="A88" s="37" t="inlineStr">
        <is>
          <t>Вінницький національний технічний університет</t>
        </is>
      </c>
      <c r="B88" s="37" t="n">
        <v>7</v>
      </c>
    </row>
    <row r="89">
      <c r="A89" s="37" t="inlineStr">
        <is>
          <t>Державний університет інформаційно-комунікаційних технологій</t>
        </is>
      </c>
      <c r="B89" s="37" t="n">
        <v>7</v>
      </c>
    </row>
    <row r="90">
      <c r="A90" s="37" t="inlineStr">
        <is>
          <t>Національний університет «Одеська політехніка»</t>
        </is>
      </c>
      <c r="B90" s="37" t="n">
        <v>7</v>
      </c>
    </row>
    <row r="91">
      <c r="A91" s="37" t="inlineStr">
        <is>
          <t>Державний університет інтелектуальних технологій і зв'язку</t>
        </is>
      </c>
      <c r="B91" s="37" t="n">
        <v>6</v>
      </c>
    </row>
    <row r="92">
      <c r="A92" s="37" t="inlineStr">
        <is>
          <t>Київський національний університет імені Тараса Шевченка</t>
        </is>
      </c>
      <c r="B92" s="37" t="n">
        <v>6</v>
      </c>
    </row>
    <row r="93">
      <c r="A93" s="37" t="inlineStr">
        <is>
          <t>Національний технічний університет «Дніпровська політехніка»</t>
        </is>
      </c>
      <c r="B93" s="37" t="n">
        <v>4</v>
      </c>
    </row>
    <row r="94">
      <c r="A94" s="37" t="inlineStr">
        <is>
          <t>Державний університет «Житомирська політехніка»</t>
        </is>
      </c>
      <c r="B94" s="37" t="n">
        <v>3</v>
      </c>
    </row>
    <row r="95">
      <c r="A95" s="37" t="inlineStr">
        <is>
          <t>Дніпровський національний університет імені Олеся Гончара</t>
        </is>
      </c>
      <c r="B95" s="37" t="n">
        <v>3</v>
      </c>
    </row>
    <row r="96">
      <c r="A96" s="37" t="inlineStr">
        <is>
          <t>Донбаська державна машинобудівна академія</t>
        </is>
      </c>
      <c r="B96" s="37" t="n">
        <v>3</v>
      </c>
    </row>
    <row r="97">
      <c r="A97" s="37" t="inlineStr">
        <is>
          <t>Кременчуцький національний університет імені Михайла Остроградського</t>
        </is>
      </c>
      <c r="B97" s="37" t="n">
        <v>3</v>
      </c>
    </row>
    <row r="98">
      <c r="A98" s="37" t="inlineStr">
        <is>
          <t>Криворізький національний університет</t>
        </is>
      </c>
      <c r="B98" s="37" t="n">
        <v>3</v>
      </c>
    </row>
    <row r="99">
      <c r="A99" s="37" t="inlineStr">
        <is>
          <t>Національний університет біоресурсів і природокористування України</t>
        </is>
      </c>
      <c r="B99" s="37" t="n">
        <v>3</v>
      </c>
    </row>
    <row r="100">
      <c r="A100" s="37" t="inlineStr">
        <is>
          <t>Національний університет кораблебудування імені адмірала Макарова</t>
        </is>
      </c>
      <c r="B100" s="37" t="n">
        <v>3</v>
      </c>
    </row>
    <row r="101">
      <c r="A101" s="37" t="inlineStr">
        <is>
          <t>Національний університет харчових технологій</t>
        </is>
      </c>
      <c r="B101" s="37" t="n">
        <v>3</v>
      </c>
    </row>
    <row r="102">
      <c r="A102" s="37" t="inlineStr">
        <is>
          <t>Одеський національний технологічний університет</t>
        </is>
      </c>
      <c r="B102" s="37" t="n">
        <v>3</v>
      </c>
    </row>
    <row r="103">
      <c r="A103" s="37" t="inlineStr">
        <is>
          <t>Прикарпатський національний університет імені Василя Стефаника</t>
        </is>
      </c>
      <c r="B103" s="37" t="n">
        <v>3</v>
      </c>
    </row>
    <row r="104">
      <c r="A104" s="37" t="inlineStr">
        <is>
          <t>Тернопільський національний технічний університет імені Івана Пулюя</t>
        </is>
      </c>
      <c r="B104" s="37" t="n">
        <v>3</v>
      </c>
    </row>
    <row r="105">
      <c r="A105" s="37" t="inlineStr">
        <is>
          <t>Український державний університет залізничного транспорту</t>
        </is>
      </c>
      <c r="B105" s="37" t="n">
        <v>3</v>
      </c>
    </row>
    <row r="106">
      <c r="A106" s="37" t="inlineStr">
        <is>
          <t>Харківський національний університет імені В.Н. Каразіна</t>
        </is>
      </c>
      <c r="B106" s="37" t="n">
        <v>3</v>
      </c>
    </row>
    <row r="107">
      <c r="A107" s="37" t="inlineStr">
        <is>
          <t>Херсонська державна морська академія</t>
        </is>
      </c>
      <c r="B107" s="37" t="n">
        <v>3</v>
      </c>
    </row>
    <row r="108">
      <c r="A108" s="37" t="inlineStr">
        <is>
          <t>Центральноукраїнський національний технічний університет</t>
        </is>
      </c>
      <c r="B108" s="37" t="n">
        <v>3</v>
      </c>
    </row>
    <row r="109">
      <c r="A109" s="37" t="inlineStr">
        <is>
          <t>Черкаський державний технологічний університет</t>
        </is>
      </c>
      <c r="B109" s="37" t="n">
        <v>3</v>
      </c>
    </row>
    <row r="110">
      <c r="A110" s="37" t="inlineStr">
        <is>
          <t>Чернівецький національний університет імені Юрія Федьковича</t>
        </is>
      </c>
      <c r="B110" s="37" t="n">
        <v>3</v>
      </c>
    </row>
    <row r="112">
      <c r="A112" s="77" t="inlineStr">
        <is>
          <t>ГАЛУЗЬ 14 ЕЛЕКТРИЧНА ІНЖЕНЕРІЯ — усього 226 місць, 27 ЗВО</t>
        </is>
      </c>
    </row>
    <row r="113">
      <c r="A113" s="78" t="inlineStr">
        <is>
          <t>ЗВО</t>
        </is>
      </c>
      <c r="B113" s="78" t="inlineStr">
        <is>
          <t>Місць</t>
        </is>
      </c>
    </row>
    <row r="114">
      <c r="A114" s="37" t="inlineStr">
        <is>
          <t>Національний технічний університет України «Київський політехнічний інститут імені Ігоря Сікорського»</t>
        </is>
      </c>
      <c r="B114" s="37" t="n">
        <v>43</v>
      </c>
    </row>
    <row r="115">
      <c r="A115" s="37" t="inlineStr">
        <is>
          <t>18 Національний технічний університет «Харківський політехнічний інститут»</t>
        </is>
      </c>
      <c r="B115" s="37" t="n">
        <v>37</v>
      </c>
    </row>
    <row r="116">
      <c r="A116" s="37" t="inlineStr">
        <is>
          <t>Національний університет кораблебудування імені адмірала Макарова</t>
        </is>
      </c>
      <c r="B116" s="37" t="n">
        <v>17</v>
      </c>
    </row>
    <row r="117">
      <c r="A117" s="37" t="inlineStr">
        <is>
          <t>Національний університет «Львівська політехніка»</t>
        </is>
      </c>
      <c r="B117" s="37" t="n">
        <v>14</v>
      </c>
    </row>
    <row r="118">
      <c r="A118" s="37" t="inlineStr">
        <is>
          <t>Національний університет біоресурсів і природокористування України</t>
        </is>
      </c>
      <c r="B118" s="37" t="n">
        <v>12</v>
      </c>
    </row>
    <row r="119">
      <c r="A119" s="37" t="inlineStr">
        <is>
          <t>Національний університет «Одеська політехніка»</t>
        </is>
      </c>
      <c r="B119" s="37" t="n">
        <v>9</v>
      </c>
    </row>
    <row r="120">
      <c r="A120" s="37" t="inlineStr">
        <is>
          <t>Національний університет «Запорізька політехніка»</t>
        </is>
      </c>
      <c r="B120" s="37" t="n">
        <v>8</v>
      </c>
    </row>
    <row r="121">
      <c r="A121" s="37" t="inlineStr">
        <is>
          <t>Національний авіаційний університет</t>
        </is>
      </c>
      <c r="B121" s="37" t="n">
        <v>7</v>
      </c>
    </row>
    <row r="122">
      <c r="A122" s="37" t="inlineStr">
        <is>
          <t>Одеський національний технологічний університет</t>
        </is>
      </c>
      <c r="B122" s="37" t="n">
        <v>7</v>
      </c>
    </row>
    <row r="123">
      <c r="A123" s="37" t="inlineStr">
        <is>
          <t>Вінницький національний технічний університет</t>
        </is>
      </c>
      <c r="B123" s="37" t="n">
        <v>6</v>
      </c>
    </row>
    <row r="124">
      <c r="A124" s="37" t="inlineStr">
        <is>
          <t>Національний аерокосмічний університет ім. М. Є. Жуковського «Харківський авіаційний інститут»</t>
        </is>
      </c>
      <c r="B124" s="37" t="n">
        <v>6</v>
      </c>
    </row>
    <row r="125">
      <c r="A125" s="37" t="inlineStr">
        <is>
          <t>Національний університет харчових технологій</t>
        </is>
      </c>
      <c r="B125" s="37" t="n">
        <v>6</v>
      </c>
    </row>
    <row r="126">
      <c r="A126" s="37" t="inlineStr">
        <is>
          <t>Харківський національний університет міського господарства імені О.М. Бекетова</t>
        </is>
      </c>
      <c r="B126" s="37" t="n">
        <v>6</v>
      </c>
    </row>
    <row r="127">
      <c r="A127" s="37" t="inlineStr">
        <is>
          <t>Державний біотехнологічний університет</t>
        </is>
      </c>
      <c r="B127" s="37" t="n">
        <v>4</v>
      </c>
    </row>
    <row r="128">
      <c r="A128" s="37" t="inlineStr">
        <is>
          <t>Кременчуцький національний університет імені Михайла Остроградського</t>
        </is>
      </c>
      <c r="B128" s="37" t="n">
        <v>4</v>
      </c>
    </row>
    <row r="129">
      <c r="A129" s="37" t="inlineStr">
        <is>
          <t>Криворізький національний університет</t>
        </is>
      </c>
      <c r="B129" s="37" t="n">
        <v>4</v>
      </c>
    </row>
    <row r="130">
      <c r="A130" s="37" t="inlineStr">
        <is>
          <t>Національний технічний університет «Дніпровська політехніка»</t>
        </is>
      </c>
      <c r="B130" s="37" t="n">
        <v>4</v>
      </c>
    </row>
    <row r="131">
      <c r="A131" s="37" t="inlineStr">
        <is>
          <t>Тернопільський національний технічний університет імені Івана Пулюя</t>
        </is>
      </c>
      <c r="B131" s="37" t="n">
        <v>4</v>
      </c>
    </row>
    <row r="132">
      <c r="A132" s="37" t="inlineStr">
        <is>
          <t>Український державний університет науки і технологій</t>
        </is>
      </c>
      <c r="B132" s="37" t="n">
        <v>4</v>
      </c>
    </row>
    <row r="133">
      <c r="A133" s="37" t="inlineStr">
        <is>
          <t>Державний вищий навчальний заклад «Приазовський державний технічний університет»</t>
        </is>
      </c>
      <c r="B133" s="37" t="n">
        <v>3</v>
      </c>
    </row>
    <row r="134">
      <c r="A134" s="37" t="inlineStr">
        <is>
          <t>Дніпровський державний технічний університет</t>
        </is>
      </c>
      <c r="B134" s="37" t="n">
        <v>3</v>
      </c>
    </row>
    <row r="135">
      <c r="A135" s="37" t="inlineStr">
        <is>
          <t>Запорізький національний університет</t>
        </is>
      </c>
      <c r="B135" s="37" t="n">
        <v>3</v>
      </c>
    </row>
    <row r="136">
      <c r="A136" s="37" t="inlineStr">
        <is>
          <t>Київський національний університет будівництва і архітектури</t>
        </is>
      </c>
      <c r="B136" s="37" t="n">
        <v>3</v>
      </c>
    </row>
    <row r="137">
      <c r="A137" s="37" t="inlineStr">
        <is>
          <t>Київський національний університет технологій та дизайну</t>
        </is>
      </c>
      <c r="B137" s="37" t="n">
        <v>3</v>
      </c>
    </row>
    <row r="138">
      <c r="A138" s="37" t="inlineStr">
        <is>
          <t>Національний транспортний університет</t>
        </is>
      </c>
      <c r="B138" s="37" t="n">
        <v>3</v>
      </c>
    </row>
    <row r="139">
      <c r="A139" s="37" t="inlineStr">
        <is>
          <t>Національний університет «Чернігівська політехніка»</t>
        </is>
      </c>
      <c r="B139" s="37" t="n">
        <v>3</v>
      </c>
    </row>
    <row r="140">
      <c r="A140" s="37" t="inlineStr">
        <is>
          <t>Таврійський державний агротехнологічний університет імені Дмитра Моторного</t>
        </is>
      </c>
      <c r="B140" s="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2026-08-26T05:17:36Z</dcterms:created>
  <dcterms:modified xsi:type="dcterms:W3CDTF">2026-08-27T01:12:48Z</dcterms:modified>
  <cp:revision>0</cp:revision>
</cp:coreProperties>
</file>